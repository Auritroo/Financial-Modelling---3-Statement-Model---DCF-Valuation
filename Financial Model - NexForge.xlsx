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urit\Downloads\"/>
    </mc:Choice>
  </mc:AlternateContent>
  <xr:revisionPtr revIDLastSave="0" documentId="13_ncr:2001_{2AAD5934-29DA-4038-9561-7802F63FE8A8}" xr6:coauthVersionLast="47" xr6:coauthVersionMax="47" xr10:uidLastSave="{00000000-0000-0000-0000-000000000000}"/>
  <bookViews>
    <workbookView xWindow="-108" yWindow="-108" windowWidth="23256" windowHeight="12456" tabRatio="633" xr2:uid="{00000000-000D-0000-FFFF-FFFF00000000}"/>
  </bookViews>
  <sheets>
    <sheet name="Cover" sheetId="1" r:id="rId1"/>
    <sheet name="Summary" sheetId="7" r:id="rId2"/>
    <sheet name="Assumptions" sheetId="2" r:id="rId3"/>
    <sheet name="Balance Sheet" sheetId="4" r:id="rId4"/>
    <sheet name="Income Statement" sheetId="3" r:id="rId5"/>
    <sheet name="Cash Flow" sheetId="5" r:id="rId6"/>
    <sheet name="DCF Valuation" sheetId="6"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6" l="1"/>
  <c r="C24" i="6"/>
  <c r="C23" i="6"/>
  <c r="C22" i="6"/>
  <c r="C21" i="6"/>
  <c r="C20" i="6"/>
  <c r="F14" i="6"/>
  <c r="F15" i="6"/>
  <c r="C19" i="6"/>
  <c r="F10" i="6"/>
  <c r="C18" i="6"/>
  <c r="D15" i="6"/>
  <c r="E15" i="6"/>
  <c r="C15" i="6"/>
  <c r="E14" i="6"/>
  <c r="D14" i="6"/>
  <c r="C14" i="6"/>
  <c r="D10" i="6"/>
  <c r="E10" i="6"/>
  <c r="C10" i="6"/>
  <c r="D9" i="6"/>
  <c r="E9" i="6"/>
  <c r="C9" i="6"/>
  <c r="D8" i="6"/>
  <c r="E8" i="6"/>
  <c r="C8" i="6"/>
  <c r="D7" i="6"/>
  <c r="E7" i="6"/>
  <c r="C7" i="6"/>
  <c r="D6" i="6"/>
  <c r="E6" i="6"/>
  <c r="C6" i="6"/>
  <c r="D5" i="6"/>
  <c r="E5" i="6"/>
  <c r="C5" i="6"/>
  <c r="D4" i="6"/>
  <c r="E4" i="6"/>
  <c r="C4" i="6"/>
  <c r="C21" i="2"/>
  <c r="E15" i="5"/>
  <c r="D15" i="5"/>
  <c r="C15" i="5"/>
  <c r="F10" i="5"/>
  <c r="C16" i="4"/>
  <c r="F14" i="4"/>
  <c r="G14" i="4"/>
  <c r="H14" i="4"/>
  <c r="E13" i="4"/>
  <c r="E14" i="4" s="1"/>
  <c r="F13" i="4"/>
  <c r="G13" i="4"/>
  <c r="H13" i="4"/>
  <c r="D13" i="4"/>
  <c r="D14" i="4" s="1"/>
  <c r="F5" i="3"/>
  <c r="F7" i="4" s="1"/>
  <c r="H17" i="3"/>
  <c r="G17" i="3"/>
  <c r="G12" i="4"/>
  <c r="H12" i="4"/>
  <c r="F12" i="4"/>
  <c r="D8" i="4"/>
  <c r="E8" i="4" s="1"/>
  <c r="C7" i="4"/>
  <c r="D7" i="4"/>
  <c r="E7" i="4"/>
  <c r="C6" i="4"/>
  <c r="D6" i="4"/>
  <c r="E7" i="5" s="1"/>
  <c r="E8" i="5" s="1"/>
  <c r="E6" i="4"/>
  <c r="C14" i="4"/>
  <c r="C11" i="4"/>
  <c r="D11" i="4"/>
  <c r="E11" i="4"/>
  <c r="D5" i="4"/>
  <c r="E5" i="4" s="1"/>
  <c r="H15" i="5"/>
  <c r="F11" i="5"/>
  <c r="H8" i="5"/>
  <c r="H7" i="5"/>
  <c r="G11" i="4"/>
  <c r="H11" i="4"/>
  <c r="G7" i="4"/>
  <c r="H7" i="4"/>
  <c r="G6" i="4"/>
  <c r="H6" i="4"/>
  <c r="F6" i="4"/>
  <c r="G11" i="5"/>
  <c r="H11" i="5"/>
  <c r="G10" i="5"/>
  <c r="H10" i="5"/>
  <c r="G14" i="2"/>
  <c r="H14" i="2" s="1"/>
  <c r="F14" i="2"/>
  <c r="F9" i="2"/>
  <c r="G5" i="5"/>
  <c r="H5" i="5"/>
  <c r="G16" i="3"/>
  <c r="H16" i="3"/>
  <c r="G14" i="3"/>
  <c r="H14" i="3"/>
  <c r="G13" i="3"/>
  <c r="H13" i="3"/>
  <c r="G12" i="3"/>
  <c r="H12" i="3"/>
  <c r="H6" i="5"/>
  <c r="F6" i="5"/>
  <c r="G6" i="5"/>
  <c r="F9" i="3"/>
  <c r="G9" i="3"/>
  <c r="H9" i="3" s="1"/>
  <c r="G10" i="3"/>
  <c r="H10" i="3"/>
  <c r="G8" i="3"/>
  <c r="H8" i="3"/>
  <c r="G9" i="2"/>
  <c r="H9" i="2"/>
  <c r="G7" i="3"/>
  <c r="H7" i="3"/>
  <c r="F7" i="3"/>
  <c r="H8" i="2"/>
  <c r="G8" i="2"/>
  <c r="F8" i="2"/>
  <c r="G6" i="3"/>
  <c r="H6" i="3"/>
  <c r="F6" i="3"/>
  <c r="F8" i="3" s="1"/>
  <c r="G5" i="3"/>
  <c r="H5" i="3"/>
  <c r="H4" i="3"/>
  <c r="G4" i="3"/>
  <c r="F4" i="3"/>
  <c r="H7" i="2"/>
  <c r="G7" i="2"/>
  <c r="F7" i="2"/>
  <c r="H6" i="2"/>
  <c r="G6" i="2"/>
  <c r="F6" i="2"/>
  <c r="D9" i="4" l="1"/>
  <c r="D16" i="4" s="1"/>
  <c r="F16" i="3"/>
  <c r="F10" i="3"/>
  <c r="F12" i="3" s="1"/>
  <c r="G7" i="5"/>
  <c r="G8" i="5" s="1"/>
  <c r="G15" i="5" s="1"/>
  <c r="F11" i="4"/>
  <c r="F7" i="5" s="1"/>
  <c r="F8" i="4"/>
  <c r="G8" i="4" s="1"/>
  <c r="H8" i="4" s="1"/>
  <c r="E9" i="4"/>
  <c r="E16" i="4" s="1"/>
  <c r="C9" i="4"/>
  <c r="D7" i="5"/>
  <c r="D8" i="5" s="1"/>
  <c r="F13" i="3" l="1"/>
  <c r="F14" i="3"/>
  <c r="F5" i="5" l="1"/>
  <c r="F8" i="5" s="1"/>
  <c r="F15" i="5" s="1"/>
  <c r="F5" i="4" s="1"/>
  <c r="F17" i="3"/>
  <c r="G5" i="4" l="1"/>
  <c r="F9" i="4"/>
  <c r="F16" i="4" s="1"/>
  <c r="H5" i="4" l="1"/>
  <c r="H9" i="4" s="1"/>
  <c r="H16" i="4" s="1"/>
  <c r="G9" i="4"/>
  <c r="G16" i="4" s="1"/>
</calcChain>
</file>

<file path=xl/sharedStrings.xml><?xml version="1.0" encoding="utf-8"?>
<sst xmlns="http://schemas.openxmlformats.org/spreadsheetml/2006/main" count="145" uniqueCount="115">
  <si>
    <t>NEXFORGE MANUFACTURING LTD.</t>
  </si>
  <si>
    <t>Financial Modeling Test — Intern Assessment</t>
  </si>
  <si>
    <t>Company</t>
  </si>
  <si>
    <t>NexForge Manufacturing Ltd. (Fictional)</t>
  </si>
  <si>
    <t>Sector</t>
  </si>
  <si>
    <t>Industrial Manufacturing — Metal Components</t>
  </si>
  <si>
    <t>Test Type</t>
  </si>
  <si>
    <t>3-Statement Model + DCF Valuation</t>
  </si>
  <si>
    <t>Level</t>
  </si>
  <si>
    <t>Intermediate</t>
  </si>
  <si>
    <t>Currency</t>
  </si>
  <si>
    <t>USD ($ Millions unless stated)</t>
  </si>
  <si>
    <t>Instructions</t>
  </si>
  <si>
    <t>1.  Complete all yellow-highlighted cells in the Income Statement, Balance Sheet, Cash Flow, and DCF sheets.</t>
  </si>
  <si>
    <t>2.  Blue cells are hardcoded inputs — do NOT change them.</t>
  </si>
  <si>
    <t>3.  All projection formulas must reference assumption cells — no hardcoding of calculated values.</t>
  </si>
  <si>
    <t>4.  Ensure the Balance Sheet balances (Assets = Liabilities + Equity) for all years.</t>
  </si>
  <si>
    <t>5.  Build a DCF using the projected Free Cash Flows with the given WACC and terminal growth rate.</t>
  </si>
  <si>
    <t>6.  Format all numbers to two decimal places where applicable; use parentheses for negatives.</t>
  </si>
  <si>
    <t>7.  All sheets must be linked — changes in assumptions must flow through automatically.</t>
  </si>
  <si>
    <t>NEXFORGE MANUFACTURING — KEY ASSUMPTIONS</t>
  </si>
  <si>
    <t>2022</t>
  </si>
  <si>
    <t>2023</t>
  </si>
  <si>
    <t>2024</t>
  </si>
  <si>
    <t>2025</t>
  </si>
  <si>
    <t>2026</t>
  </si>
  <si>
    <t>2027</t>
  </si>
  <si>
    <t>← Historical →</t>
  </si>
  <si>
    <t>← Projections →</t>
  </si>
  <si>
    <t>Income Statement Assumptions</t>
  </si>
  <si>
    <t>Revenue Growth Rate</t>
  </si>
  <si>
    <t>N/A</t>
  </si>
  <si>
    <t>COGS % of Revenue</t>
  </si>
  <si>
    <t>SG&amp;A % of Revenue</t>
  </si>
  <si>
    <t>D&amp;A ($ mm)</t>
  </si>
  <si>
    <t>Interest Expense ($ mm)</t>
  </si>
  <si>
    <t>Tax Rate</t>
  </si>
  <si>
    <t>Balance Sheet &amp; Cash Flow Assumptions</t>
  </si>
  <si>
    <t>Capital Expenditure ($ mm)</t>
  </si>
  <si>
    <t>Debt Repayment ($ mm)</t>
  </si>
  <si>
    <t>DCF Assumptions</t>
  </si>
  <si>
    <t>WACC</t>
  </si>
  <si>
    <t>Terminal Growth Rate</t>
  </si>
  <si>
    <t>Shares Outstanding (mm)</t>
  </si>
  <si>
    <t>Net Debt (FY2024, $ mm)</t>
  </si>
  <si>
    <t>Note: Blue cells are hardcoded inputs. Projection years are 2025–2027. Historical data (2022–2024) is provided for reference.</t>
  </si>
  <si>
    <t>NEXFORGE MANUFACTURING — INCOME STATEMENT ($ mm)</t>
  </si>
  <si>
    <t>Revenue</t>
  </si>
  <si>
    <t xml:space="preserve">  Cost of Goods Sold</t>
  </si>
  <si>
    <t>Gross Profit</t>
  </si>
  <si>
    <t xml:space="preserve">  SG&amp;A Expenses</t>
  </si>
  <si>
    <t>EBITDA</t>
  </si>
  <si>
    <t xml:space="preserve">  D&amp;A</t>
  </si>
  <si>
    <t>EBIT</t>
  </si>
  <si>
    <t xml:space="preserve">  Interest Expense</t>
  </si>
  <si>
    <t>EBT</t>
  </si>
  <si>
    <t xml:space="preserve">  Income Tax</t>
  </si>
  <si>
    <t>Net Income</t>
  </si>
  <si>
    <t>Key Metrics</t>
  </si>
  <si>
    <t>EBITDA Margin</t>
  </si>
  <si>
    <t>Net Income Margin</t>
  </si>
  <si>
    <t>NEXFORGE MANUFACTURING — BALANCE SHEET ($ mm)</t>
  </si>
  <si>
    <t>ASSETS</t>
  </si>
  <si>
    <t>Cash &amp; Equivalents</t>
  </si>
  <si>
    <t>Accounts Receivable</t>
  </si>
  <si>
    <t>Inventory</t>
  </si>
  <si>
    <t>PP&amp;E, Net</t>
  </si>
  <si>
    <t>Total Assets</t>
  </si>
  <si>
    <t>LIABILITIES &amp; EQUITY</t>
  </si>
  <si>
    <t>Accounts Payable</t>
  </si>
  <si>
    <t>Long-Term Debt</t>
  </si>
  <si>
    <t>Total Equity</t>
  </si>
  <si>
    <t>Total Liab. &amp; Equity</t>
  </si>
  <si>
    <t>NEXFORGE MANUFACTURING — CASH FLOW STATEMENT ($ mm)</t>
  </si>
  <si>
    <t>Operating Activities</t>
  </si>
  <si>
    <t xml:space="preserve">  Add: D&amp;A</t>
  </si>
  <si>
    <t xml:space="preserve">  Change in Working Capital</t>
  </si>
  <si>
    <t>Cash from Operations</t>
  </si>
  <si>
    <t>Investing Activities</t>
  </si>
  <si>
    <t xml:space="preserve">  Capital Expenditures</t>
  </si>
  <si>
    <t>Cash from Investing</t>
  </si>
  <si>
    <t>Financing Activities</t>
  </si>
  <si>
    <t xml:space="preserve">  Debt Repayment</t>
  </si>
  <si>
    <t>Cash from Financing</t>
  </si>
  <si>
    <t>Net Change in Cash</t>
  </si>
  <si>
    <t>NEXFORGE MANUFACTURING — DCF VALUATION ($ mm)</t>
  </si>
  <si>
    <t>Step 1: Free Cash Flow Build</t>
  </si>
  <si>
    <t xml:space="preserve">  Less: Taxes on EBIT</t>
  </si>
  <si>
    <t>NOPAT</t>
  </si>
  <si>
    <t xml:space="preserve">  Less: CapEx</t>
  </si>
  <si>
    <t>Free Cash Flow (FCF)</t>
  </si>
  <si>
    <t>Step 2: Discount Cash Flows</t>
  </si>
  <si>
    <t>Discount Period</t>
  </si>
  <si>
    <t>Discount Factor</t>
  </si>
  <si>
    <t>PV of FCF</t>
  </si>
  <si>
    <t>Step 3: Terminal Value &amp; Valuation Summary</t>
  </si>
  <si>
    <t>Sum of PV of FCFs ($ mm)</t>
  </si>
  <si>
    <t>Terminal Value ($ mm)</t>
  </si>
  <si>
    <t>PV of Terminal Value ($ mm)</t>
  </si>
  <si>
    <t>Enterprise Value ($ mm)</t>
  </si>
  <si>
    <t>Less: Net Debt ($ mm)</t>
  </si>
  <si>
    <t>Equity Value ($ mm)</t>
  </si>
  <si>
    <t>Implied Share Price ($)</t>
  </si>
  <si>
    <t>9. Provide financial analysis and a final investment recommendation based on the model’s outputs and underlying assumptions.</t>
  </si>
  <si>
    <t>10. Ensure the work is original with no AI-generated or plagiarized content.</t>
  </si>
  <si>
    <t>8. Summarize the financial model clearly in summary tab, highlighting key assumptions, drivers, and structure in a concise manner.</t>
  </si>
  <si>
    <t>Summarise your Financial Model here</t>
  </si>
  <si>
    <t>Total L&amp;E - Total Assets</t>
  </si>
  <si>
    <t>2028</t>
  </si>
  <si>
    <t>Candidate Name: Aritra Tarafdar    Date: 29-04-2026</t>
  </si>
  <si>
    <t>Company Overview: NexForge Manufacturing - Financial Model Summary</t>
  </si>
  <si>
    <r>
      <rPr>
        <b/>
        <sz val="11"/>
        <color theme="1"/>
        <rFont val="Calibri"/>
        <family val="2"/>
      </rPr>
      <t>Key Valuation Outputs</t>
    </r>
    <r>
      <rPr>
        <sz val="11"/>
        <color theme="1"/>
        <rFont val="Calibri"/>
        <family val="2"/>
        <charset val="1"/>
      </rPr>
      <t xml:space="preserve">
Implied Share Price: $14.74
Equity Value: $1,474 million
Enterprise Value: $1,433 million
Shares Outstanding: 100 million</t>
    </r>
  </si>
  <si>
    <r>
      <rPr>
        <b/>
        <sz val="11"/>
        <color theme="1"/>
        <rFont val="Calibri"/>
        <family val="2"/>
      </rPr>
      <t>Model Structure</t>
    </r>
    <r>
      <rPr>
        <sz val="11"/>
        <color theme="1"/>
        <rFont val="Calibri"/>
        <family val="2"/>
        <charset val="1"/>
      </rPr>
      <t xml:space="preserve">
This DCF model projects NexForge's financials from 2022-2027 using:
Income Statement (revenue through net income)
Balance Sheet (assets, liabilities, equity)
Cash Flow Statement (operating, investing, financing)
DCF Valuation (discounted free cash flows + terminal value)</t>
    </r>
  </si>
  <si>
    <r>
      <rPr>
        <b/>
        <sz val="11"/>
        <color theme="1"/>
        <rFont val="Calibri"/>
        <family val="2"/>
      </rPr>
      <t>Key Assumptions</t>
    </r>
    <r>
      <rPr>
        <sz val="11"/>
        <color theme="1"/>
        <rFont val="Calibri"/>
        <family val="2"/>
        <charset val="1"/>
      </rPr>
      <t xml:space="preserve">
</t>
    </r>
    <r>
      <rPr>
        <i/>
        <sz val="11"/>
        <color theme="1"/>
        <rFont val="Calibri"/>
        <family val="2"/>
      </rPr>
      <t>Growth &amp; Revenue Drivers:</t>
    </r>
    <r>
      <rPr>
        <sz val="11"/>
        <color theme="1"/>
        <rFont val="Calibri"/>
        <family val="2"/>
        <charset val="1"/>
      </rPr>
      <t xml:space="preserve">
   1. Revenue Growth Rate: 10.0% annually (2023-2027)
   2. 2027 Revenue: $773mm (from $480mm in 2022)
</t>
    </r>
    <r>
      <rPr>
        <i/>
        <sz val="11"/>
        <color theme="1"/>
        <rFont val="Calibri"/>
        <family val="2"/>
      </rPr>
      <t>Profitability Assumptions:</t>
    </r>
    <r>
      <rPr>
        <sz val="11"/>
        <color theme="1"/>
        <rFont val="Calibri"/>
        <family val="2"/>
        <charset val="1"/>
      </rPr>
      <t xml:space="preserve">
   1. COGS: 60.0% of revenue (stable)
   2. SG&amp;A: Declining from 15.0% to 13.4% (operating leverage)
   3. Tax Rate: 25.0%
</t>
    </r>
    <r>
      <rPr>
        <i/>
        <sz val="11"/>
        <color theme="1"/>
        <rFont val="Calibri"/>
        <family val="2"/>
      </rPr>
      <t>Capital Structure:</t>
    </r>
    <r>
      <rPr>
        <sz val="11"/>
        <color theme="1"/>
        <rFont val="Calibri"/>
        <family val="2"/>
        <charset val="1"/>
      </rPr>
      <t xml:space="preserve">
   1. D&amp;A: $28mm (2022) → $40.88mm (2027)
   2. Interest Expense: $8mm (2022) → $4.67mm (2027) - declining with debt paydown
   3. CapEx: $38mm (2022) → $50.88mm (2027) - supporting growth
   4. Debt Repayment: $10mm annually
</t>
    </r>
    <r>
      <rPr>
        <i/>
        <sz val="11"/>
        <color theme="1"/>
        <rFont val="Calibri"/>
        <family val="2"/>
      </rPr>
      <t>DCF Valuation Inputs:</t>
    </r>
    <r>
      <rPr>
        <sz val="11"/>
        <color theme="1"/>
        <rFont val="Calibri"/>
        <family val="2"/>
        <charset val="1"/>
      </rPr>
      <t xml:space="preserve">
  1. WACC: 10.0%
  2. Terminal Growth Rate: 3.5%
  3. Net Debt (FY2024): ($41mm) - net cash position
</t>
    </r>
    <r>
      <rPr>
        <i/>
        <sz val="11"/>
        <color theme="1"/>
        <rFont val="Calibri"/>
        <family val="2"/>
      </rPr>
      <t>Key Performance Metrics (2022 → 2027)</t>
    </r>
    <r>
      <rPr>
        <sz val="11"/>
        <color theme="1"/>
        <rFont val="Calibri"/>
        <family val="2"/>
        <charset val="1"/>
      </rPr>
      <t xml:space="preserve">
  1. Revenue: $480mm → $773mm (61% growth)
  2. EBITDA: $120mm → $206mm (72% growth)
  3. EBITDA Margin: 25.0% → 26.6% (margin expansion)
  4. Net Income: $63mm → $120mm (90% growth)
  5. Net Margin: 13.1% → 15.53% (profitability improvement)
  6. Free Cash Flow: ~$53mm → ~$98mm (strong cash generation)</t>
    </r>
  </si>
  <si>
    <r>
      <rPr>
        <b/>
        <sz val="11"/>
        <color theme="1"/>
        <rFont val="Calibri"/>
        <family val="2"/>
      </rPr>
      <t>FINANCIAL ANALYSIS &amp; INVESTMENT RECOMMENDATION</t>
    </r>
    <r>
      <rPr>
        <sz val="11"/>
        <color theme="1"/>
        <rFont val="Calibri"/>
        <family val="2"/>
        <charset val="1"/>
      </rPr>
      <t xml:space="preserve">
</t>
    </r>
    <r>
      <rPr>
        <b/>
        <sz val="11"/>
        <color theme="1"/>
        <rFont val="Calibri"/>
        <family val="2"/>
      </rPr>
      <t>Financial Health &amp; Valuation Summary</t>
    </r>
    <r>
      <rPr>
        <sz val="11"/>
        <color theme="1"/>
        <rFont val="Calibri"/>
        <family val="2"/>
        <charset val="1"/>
      </rPr>
      <t xml:space="preserve">
NexForge demonstrates strong financial fundamentals with EBITDA margins expanding from 25.0% to 26.6% driven by operating leverage as SG&amp;A declines from 15.0% to 13.4% of revenue, while net margins improve from 13.1% to 15.53% benefiting from both operational efficiency and declining interest expense. The balance sheet strengthens dramatically with net debt improving from $75mm to net cash of $298mm by 2027, while operating cash flow grows 64% to $149mm and free cash flow nearly doubles to $98mm, demonstrating exceptional cash generation capability and self-funded growth without external financing dependency. The DCF yields an implied price of $14.74 with valuation multiples of approximately 6.9x EV/EBITDA and 12.3x P/E, which appear reasonable and potentially conservative for a quality manufacturer showing margin expansion and fortress balance sheet characteristics.
</t>
    </r>
    <r>
      <rPr>
        <b/>
        <sz val="11"/>
        <color theme="1"/>
        <rFont val="Calibri"/>
        <family val="2"/>
      </rPr>
      <t>Investment Recommendation: HOLD / CONDITIONAL BUY</t>
    </r>
    <r>
      <rPr>
        <sz val="11"/>
        <color theme="1"/>
        <rFont val="Calibri"/>
        <family val="2"/>
        <charset val="1"/>
      </rPr>
      <t xml:space="preserve">
The model supports a HOLD rating with potential upgrade to BUY upon further validation, as NexForge offers attractive fundamentals including strong cash generation, credible margin expansion, balance sheet transformation, and reasonable valuation multiples, but significant risks warrant caution including high terminal value dependence (70% of enterprise value), absence of cyclical scenario analysis despite manufacturing's inherent cyclicality, constant 10% WACC assumption that likely overstates discount rates in later years given improving balance sheet, and limited visibility on customer concentration, competitive positioning, and management quality that are critical to achieving projected growth. A BUY rating would require evidence of management's execution track record, customer contract visibility supporting revenue assumptions, downside scenario testing showing limited risk at $14.74, and industry tailwinds validating the margin expansion thesis, while a SELL would be triggered by margin pressure, customer losses, CapEx exceeding projections, or recession scenarios revealing material cash flow impairment. Recommended action items include building bull/base/bear scenario analysis with probability weighting, developing sensitivity tables for key assumption combinations, conducting comparable company and precedent transaction analysis, assessing management quality and track record, performing detailed industry and competitive analysis, and stress-testing downside scenarios to understand risk profile before establishing position.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</si>
</sst>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8" formatCode="#,##0.00;\(#,##0.00\);\-"/>
    <numFmt numFmtId="173" formatCode="0.000"/>
    <numFmt numFmtId="174" formatCode="#,##0.000;\(#,##0.000\);\-"/>
  </numFmts>
  <fonts count="22" x14ac:knownFonts="1">
    <font>
      <sz val="11"/>
      <color theme="1"/>
      <name val="Calibri"/>
      <family val="2"/>
      <charset val="1"/>
    </font>
    <font>
      <b/>
      <sz val="22"/>
      <color rgb="FFFFFFFF"/>
      <name val="Arial"/>
      <family val="2"/>
    </font>
    <font>
      <b/>
      <sz val="13"/>
      <color rgb="FFFFFFFF"/>
      <name val="Arial"/>
      <family val="2"/>
    </font>
    <font>
      <b/>
      <sz val="10"/>
      <color rgb="FF1F2D3D"/>
      <name val="Arial"/>
      <family val="2"/>
    </font>
    <font>
      <sz val="10"/>
      <name val="Arial"/>
      <family val="2"/>
    </font>
    <font>
      <b/>
      <sz val="11"/>
      <color rgb="FFFFFFFF"/>
      <name val="Arial"/>
      <family val="2"/>
    </font>
    <font>
      <b/>
      <sz val="10"/>
      <color rgb="FFFFFFFF"/>
      <name val="Arial"/>
      <family val="2"/>
    </font>
    <font>
      <b/>
      <sz val="9"/>
      <color rgb="FFFFFFFF"/>
      <name val="Arial"/>
      <family val="2"/>
    </font>
    <font>
      <i/>
      <sz val="8"/>
      <color rgb="FF888888"/>
      <name val="Arial"/>
      <family val="2"/>
    </font>
    <font>
      <sz val="9"/>
      <color rgb="FF000000"/>
      <name val="Arial"/>
      <family val="2"/>
    </font>
    <font>
      <i/>
      <sz val="9"/>
      <color rgb="FF888888"/>
      <name val="Arial"/>
      <family val="2"/>
    </font>
    <font>
      <sz val="9"/>
      <color rgb="FF0000FF"/>
      <name val="Arial"/>
      <family val="2"/>
    </font>
    <font>
      <i/>
      <sz val="8"/>
      <color rgb="FF666666"/>
      <name val="Arial"/>
      <family val="2"/>
    </font>
    <font>
      <b/>
      <sz val="9"/>
      <color rgb="FF000000"/>
      <name val="Arial"/>
      <family val="2"/>
    </font>
    <font>
      <b/>
      <i/>
      <sz val="8"/>
      <color rgb="FF2563EB"/>
      <name val="Arial"/>
      <family val="2"/>
    </font>
    <font>
      <sz val="9"/>
      <color theme="1"/>
      <name val="Arial"/>
      <family val="2"/>
    </font>
    <font>
      <sz val="9"/>
      <color theme="1" tint="0.14999847407452621"/>
      <name val="Arial"/>
      <family val="2"/>
    </font>
    <font>
      <sz val="11"/>
      <color theme="1"/>
      <name val="Calibri"/>
      <family val="2"/>
      <charset val="1"/>
    </font>
    <font>
      <sz val="8"/>
      <name val="Calibri"/>
      <family val="2"/>
      <charset val="1"/>
    </font>
    <font>
      <b/>
      <sz val="11"/>
      <color theme="1"/>
      <name val="Calibri"/>
      <family val="2"/>
    </font>
    <font>
      <sz val="11"/>
      <color theme="1"/>
      <name val="Calibri"/>
      <family val="2"/>
    </font>
    <font>
      <i/>
      <sz val="11"/>
      <color theme="1"/>
      <name val="Calibri"/>
      <family val="2"/>
    </font>
  </fonts>
  <fills count="15">
    <fill>
      <patternFill patternType="none"/>
    </fill>
    <fill>
      <patternFill patternType="gray125"/>
    </fill>
    <fill>
      <patternFill patternType="solid">
        <fgColor theme="9" tint="0.79998168889431442"/>
        <bgColor indexed="64"/>
      </patternFill>
    </fill>
    <fill>
      <patternFill patternType="solid">
        <fgColor theme="9" tint="0.79998168889431442"/>
        <bgColor rgb="FFF2F4F7"/>
      </patternFill>
    </fill>
    <fill>
      <patternFill patternType="solid">
        <fgColor theme="9" tint="0.79998168889431442"/>
        <bgColor rgb="FFFFFFFF"/>
      </patternFill>
    </fill>
    <fill>
      <patternFill patternType="solid">
        <fgColor rgb="FF002060"/>
        <bgColor rgb="FF2E4057"/>
      </patternFill>
    </fill>
    <fill>
      <patternFill patternType="solid">
        <fgColor theme="3" tint="-0.249977111117893"/>
        <bgColor rgb="FF1F2D3D"/>
      </patternFill>
    </fill>
    <fill>
      <patternFill patternType="solid">
        <fgColor theme="3" tint="-0.249977111117893"/>
        <bgColor rgb="FF0066CC"/>
      </patternFill>
    </fill>
    <fill>
      <patternFill patternType="solid">
        <fgColor rgb="FF002060"/>
        <bgColor rgb="FF1F2D3D"/>
      </patternFill>
    </fill>
    <fill>
      <patternFill patternType="solid">
        <fgColor theme="3" tint="-0.249977111117893"/>
        <bgColor rgb="FF2E4057"/>
      </patternFill>
    </fill>
    <fill>
      <patternFill patternType="solid">
        <fgColor rgb="FF0000FF"/>
        <bgColor rgb="FF0066CC"/>
      </patternFill>
    </fill>
    <fill>
      <patternFill patternType="solid">
        <fgColor rgb="FF002060"/>
        <bgColor indexed="64"/>
      </patternFill>
    </fill>
    <fill>
      <patternFill patternType="solid">
        <fgColor theme="0"/>
        <bgColor indexed="64"/>
      </patternFill>
    </fill>
    <fill>
      <patternFill patternType="solid">
        <fgColor theme="0"/>
        <bgColor rgb="FF1F2D3D"/>
      </patternFill>
    </fill>
    <fill>
      <patternFill patternType="solid">
        <fgColor theme="0"/>
        <bgColor rgb="FFF2F4F7"/>
      </patternFill>
    </fill>
  </fills>
  <borders count="14">
    <border>
      <left/>
      <right/>
      <top/>
      <bottom/>
      <diagonal/>
    </border>
    <border>
      <left/>
      <right/>
      <top/>
      <bottom style="medium">
        <color rgb="FF9CA3AF"/>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7" fillId="0" borderId="0" applyFont="0" applyFill="0" applyBorder="0" applyAlignment="0" applyProtection="0"/>
  </cellStyleXfs>
  <cellXfs count="84">
    <xf numFmtId="0" fontId="0" fillId="0" borderId="0" xfId="0"/>
    <xf numFmtId="0" fontId="3" fillId="0" borderId="0" xfId="0" applyFont="1"/>
    <xf numFmtId="0" fontId="8" fillId="0" borderId="0" xfId="0" applyFont="1"/>
    <xf numFmtId="0" fontId="9" fillId="0" borderId="0" xfId="0" applyFont="1" applyAlignment="1">
      <alignment horizontal="left"/>
    </xf>
    <xf numFmtId="0" fontId="10" fillId="0" borderId="0" xfId="0" applyFont="1" applyAlignment="1">
      <alignment horizontal="center"/>
    </xf>
    <xf numFmtId="164" fontId="11" fillId="0" borderId="0" xfId="0" applyNumberFormat="1" applyFont="1" applyAlignment="1">
      <alignment horizontal="right"/>
    </xf>
    <xf numFmtId="165" fontId="11" fillId="0" borderId="0" xfId="0" applyNumberFormat="1" applyFont="1" applyAlignment="1">
      <alignment horizontal="right"/>
    </xf>
    <xf numFmtId="165" fontId="9" fillId="0" borderId="0" xfId="0" applyNumberFormat="1" applyFont="1" applyAlignment="1">
      <alignment horizontal="right"/>
    </xf>
    <xf numFmtId="0" fontId="13" fillId="0" borderId="1" xfId="0" applyFont="1" applyBorder="1" applyAlignment="1">
      <alignment horizontal="left"/>
    </xf>
    <xf numFmtId="165" fontId="9" fillId="0" borderId="1" xfId="0" applyNumberFormat="1" applyFont="1" applyBorder="1" applyAlignment="1">
      <alignment horizontal="right"/>
    </xf>
    <xf numFmtId="164" fontId="9" fillId="0" borderId="0" xfId="0" applyNumberFormat="1" applyFont="1" applyAlignment="1">
      <alignment horizontal="right"/>
    </xf>
    <xf numFmtId="0" fontId="0" fillId="0" borderId="1" xfId="0" applyBorder="1"/>
    <xf numFmtId="0" fontId="0" fillId="3" borderId="0" xfId="0" applyFill="1"/>
    <xf numFmtId="165" fontId="9" fillId="2" borderId="0" xfId="0" applyNumberFormat="1" applyFont="1" applyFill="1" applyAlignment="1">
      <alignment horizontal="right"/>
    </xf>
    <xf numFmtId="165" fontId="9" fillId="2" borderId="1" xfId="0" applyNumberFormat="1" applyFont="1" applyFill="1" applyBorder="1" applyAlignment="1">
      <alignment horizontal="right"/>
    </xf>
    <xf numFmtId="0" fontId="15" fillId="4" borderId="0" xfId="0" applyFont="1" applyFill="1" applyAlignment="1">
      <alignment horizontal="left" vertical="center" indent="1"/>
    </xf>
    <xf numFmtId="0" fontId="7" fillId="9" borderId="0" xfId="0" applyFont="1" applyFill="1" applyAlignment="1">
      <alignment horizontal="center"/>
    </xf>
    <xf numFmtId="0" fontId="7" fillId="10" borderId="0" xfId="0" applyFont="1" applyFill="1" applyAlignment="1">
      <alignment horizontal="center"/>
    </xf>
    <xf numFmtId="0" fontId="0" fillId="11" borderId="0" xfId="0" applyFill="1"/>
    <xf numFmtId="0" fontId="0" fillId="12" borderId="0" xfId="0" applyFill="1"/>
    <xf numFmtId="0" fontId="6" fillId="13" borderId="0" xfId="0" applyFont="1" applyFill="1" applyAlignment="1">
      <alignment horizontal="left" vertical="center" indent="1"/>
    </xf>
    <xf numFmtId="165" fontId="16" fillId="2" borderId="0" xfId="0" applyNumberFormat="1" applyFont="1" applyFill="1" applyAlignment="1">
      <alignment horizontal="right"/>
    </xf>
    <xf numFmtId="0" fontId="12" fillId="0" borderId="0" xfId="0" applyFont="1"/>
    <xf numFmtId="0" fontId="6" fillId="8" borderId="0" xfId="0" applyFont="1" applyFill="1" applyAlignment="1">
      <alignment horizontal="left" vertical="center" indent="1"/>
    </xf>
    <xf numFmtId="0" fontId="14" fillId="2" borderId="0" xfId="0" applyFont="1" applyFill="1" applyAlignment="1">
      <alignment horizontal="center"/>
    </xf>
    <xf numFmtId="0" fontId="6" fillId="8" borderId="0" xfId="0" applyFont="1" applyFill="1" applyAlignment="1">
      <alignment horizontal="center" vertical="center"/>
    </xf>
    <xf numFmtId="0" fontId="4" fillId="0" borderId="1" xfId="0" applyFont="1" applyBorder="1"/>
    <xf numFmtId="0" fontId="15" fillId="4" borderId="0" xfId="0" applyFont="1" applyFill="1" applyAlignment="1">
      <alignment horizontal="left" vertical="center" indent="1"/>
    </xf>
    <xf numFmtId="0" fontId="4" fillId="0" borderId="0" xfId="0" applyFont="1"/>
    <xf numFmtId="0" fontId="5" fillId="7" borderId="0" xfId="0" applyFont="1" applyFill="1" applyAlignment="1">
      <alignment horizontal="left" vertical="center" indent="1"/>
    </xf>
    <xf numFmtId="0" fontId="1" fillId="5" borderId="0" xfId="0" applyFont="1" applyFill="1" applyAlignment="1">
      <alignment horizontal="center" vertical="center"/>
    </xf>
    <xf numFmtId="0" fontId="2" fillId="6" borderId="5" xfId="0" applyFont="1" applyFill="1" applyBorder="1" applyAlignment="1">
      <alignment horizontal="center" vertical="center"/>
    </xf>
    <xf numFmtId="0" fontId="2" fillId="6" borderId="0" xfId="0" applyFont="1" applyFill="1" applyAlignment="1">
      <alignment horizontal="center" vertical="center"/>
    </xf>
    <xf numFmtId="0" fontId="6" fillId="8" borderId="2" xfId="0" applyFont="1" applyFill="1" applyBorder="1" applyAlignment="1">
      <alignment horizontal="left" vertical="center" indent="1"/>
    </xf>
    <xf numFmtId="0" fontId="6" fillId="8" borderId="3" xfId="0" applyFont="1" applyFill="1" applyBorder="1" applyAlignment="1">
      <alignment horizontal="left" vertical="center" indent="1"/>
    </xf>
    <xf numFmtId="0" fontId="6" fillId="8" borderId="4" xfId="0" applyFont="1" applyFill="1" applyBorder="1" applyAlignment="1">
      <alignment horizontal="left" vertical="center" indent="1"/>
    </xf>
    <xf numFmtId="0" fontId="6" fillId="8" borderId="5" xfId="0" applyFont="1" applyFill="1" applyBorder="1" applyAlignment="1">
      <alignment horizontal="left" vertical="center" indent="1"/>
    </xf>
    <xf numFmtId="165" fontId="15" fillId="2" borderId="0" xfId="0" applyNumberFormat="1" applyFont="1" applyFill="1" applyAlignment="1">
      <alignment horizontal="right"/>
    </xf>
    <xf numFmtId="168" fontId="15" fillId="2" borderId="0" xfId="0" applyNumberFormat="1" applyFont="1" applyFill="1" applyAlignment="1">
      <alignment horizontal="right"/>
    </xf>
    <xf numFmtId="168" fontId="9" fillId="2" borderId="1" xfId="0" applyNumberFormat="1" applyFont="1" applyFill="1" applyBorder="1" applyAlignment="1">
      <alignment horizontal="right"/>
    </xf>
    <xf numFmtId="173" fontId="0" fillId="3" borderId="0" xfId="0" applyNumberFormat="1" applyFill="1"/>
    <xf numFmtId="164" fontId="15" fillId="2" borderId="0" xfId="0" applyNumberFormat="1" applyFont="1" applyFill="1" applyAlignment="1">
      <alignment horizontal="right"/>
    </xf>
    <xf numFmtId="2" fontId="0" fillId="3" borderId="0" xfId="0" applyNumberFormat="1" applyFill="1"/>
    <xf numFmtId="168" fontId="9" fillId="0" borderId="0" xfId="0" applyNumberFormat="1" applyFont="1" applyAlignment="1">
      <alignment horizontal="right"/>
    </xf>
    <xf numFmtId="168" fontId="9" fillId="2" borderId="0" xfId="0" applyNumberFormat="1" applyFont="1" applyFill="1" applyAlignment="1">
      <alignment horizontal="right"/>
    </xf>
    <xf numFmtId="4" fontId="0" fillId="3" borderId="1" xfId="0" applyNumberFormat="1" applyFill="1" applyBorder="1"/>
    <xf numFmtId="165" fontId="0" fillId="3" borderId="0" xfId="0" applyNumberFormat="1" applyFill="1"/>
    <xf numFmtId="4" fontId="0" fillId="3" borderId="0" xfId="0" applyNumberFormat="1" applyFill="1"/>
    <xf numFmtId="2" fontId="0" fillId="0" borderId="0" xfId="0" applyNumberFormat="1"/>
    <xf numFmtId="10" fontId="0" fillId="3" borderId="0" xfId="1" applyNumberFormat="1" applyFont="1" applyFill="1"/>
    <xf numFmtId="168" fontId="0" fillId="3" borderId="0" xfId="0" applyNumberFormat="1" applyFill="1"/>
    <xf numFmtId="0" fontId="9" fillId="0" borderId="0" xfId="0" applyFont="1" applyFill="1" applyBorder="1" applyAlignment="1">
      <alignment horizontal="left"/>
    </xf>
    <xf numFmtId="165" fontId="0" fillId="0" borderId="0" xfId="0" applyNumberFormat="1"/>
    <xf numFmtId="168" fontId="0" fillId="0" borderId="0" xfId="0" applyNumberFormat="1"/>
    <xf numFmtId="2" fontId="0" fillId="2" borderId="0" xfId="0" applyNumberFormat="1" applyFill="1"/>
    <xf numFmtId="2" fontId="0" fillId="3" borderId="1" xfId="0" applyNumberFormat="1" applyFill="1" applyBorder="1"/>
    <xf numFmtId="2" fontId="0" fillId="0" borderId="1" xfId="0" applyNumberFormat="1" applyBorder="1"/>
    <xf numFmtId="0" fontId="0" fillId="14" borderId="0" xfId="0" applyFill="1"/>
    <xf numFmtId="173" fontId="0" fillId="14" borderId="0" xfId="0" applyNumberFormat="1" applyFill="1"/>
    <xf numFmtId="2" fontId="0" fillId="14" borderId="1" xfId="0" applyNumberFormat="1" applyFill="1" applyBorder="1"/>
    <xf numFmtId="174" fontId="9" fillId="2" borderId="1" xfId="0" applyNumberFormat="1" applyFont="1" applyFill="1" applyBorder="1" applyAlignment="1">
      <alignment horizontal="right"/>
    </xf>
    <xf numFmtId="0" fontId="19" fillId="12" borderId="0" xfId="0" applyFont="1" applyFill="1" applyAlignment="1">
      <alignment horizontal="center"/>
    </xf>
    <xf numFmtId="0" fontId="20" fillId="12" borderId="6" xfId="0" applyFont="1" applyFill="1" applyBorder="1" applyAlignment="1">
      <alignment horizontal="left" vertical="top" wrapText="1"/>
    </xf>
    <xf numFmtId="0" fontId="0" fillId="12" borderId="7" xfId="0" applyFill="1" applyBorder="1" applyAlignment="1">
      <alignment horizontal="left" vertical="top" wrapText="1"/>
    </xf>
    <xf numFmtId="0" fontId="0" fillId="12" borderId="8" xfId="0" applyFill="1" applyBorder="1" applyAlignment="1">
      <alignment horizontal="left" vertical="top" wrapText="1"/>
    </xf>
    <xf numFmtId="0" fontId="0" fillId="12" borderId="9" xfId="0" applyFill="1" applyBorder="1" applyAlignment="1">
      <alignment horizontal="left" vertical="top" wrapText="1"/>
    </xf>
    <xf numFmtId="0" fontId="0" fillId="12" borderId="0" xfId="0" applyFill="1" applyBorder="1" applyAlignment="1">
      <alignment horizontal="left" vertical="top" wrapText="1"/>
    </xf>
    <xf numFmtId="0" fontId="0" fillId="12" borderId="10" xfId="0" applyFill="1" applyBorder="1" applyAlignment="1">
      <alignment horizontal="left" vertical="top" wrapText="1"/>
    </xf>
    <xf numFmtId="0" fontId="0" fillId="12" borderId="11" xfId="0" applyFill="1" applyBorder="1" applyAlignment="1">
      <alignment horizontal="left" vertical="top" wrapText="1"/>
    </xf>
    <xf numFmtId="0" fontId="0" fillId="12" borderId="12" xfId="0" applyFill="1" applyBorder="1" applyAlignment="1">
      <alignment horizontal="left" vertical="top" wrapText="1"/>
    </xf>
    <xf numFmtId="0" fontId="0" fillId="12" borderId="13" xfId="0" applyFill="1" applyBorder="1" applyAlignment="1">
      <alignment horizontal="left" vertical="top" wrapText="1"/>
    </xf>
    <xf numFmtId="0" fontId="0" fillId="12" borderId="7" xfId="0" applyFill="1" applyBorder="1" applyAlignment="1">
      <alignment horizontal="left" vertical="top"/>
    </xf>
    <xf numFmtId="0" fontId="0" fillId="12" borderId="8" xfId="0" applyFill="1" applyBorder="1" applyAlignment="1">
      <alignment horizontal="left" vertical="top"/>
    </xf>
    <xf numFmtId="0" fontId="0" fillId="12" borderId="9" xfId="0" applyFill="1" applyBorder="1" applyAlignment="1">
      <alignment horizontal="left" vertical="top"/>
    </xf>
    <xf numFmtId="0" fontId="0" fillId="12" borderId="0" xfId="0" applyFill="1" applyBorder="1" applyAlignment="1">
      <alignment horizontal="left" vertical="top"/>
    </xf>
    <xf numFmtId="0" fontId="0" fillId="12" borderId="10" xfId="0" applyFill="1" applyBorder="1" applyAlignment="1">
      <alignment horizontal="left" vertical="top"/>
    </xf>
    <xf numFmtId="0" fontId="0" fillId="12" borderId="11" xfId="0" applyFill="1" applyBorder="1" applyAlignment="1">
      <alignment horizontal="left" vertical="top"/>
    </xf>
    <xf numFmtId="0" fontId="0" fillId="12" borderId="12" xfId="0" applyFill="1" applyBorder="1" applyAlignment="1">
      <alignment horizontal="left" vertical="top"/>
    </xf>
    <xf numFmtId="0" fontId="0" fillId="12" borderId="13" xfId="0" applyFill="1" applyBorder="1" applyAlignment="1">
      <alignment horizontal="left" vertical="top"/>
    </xf>
    <xf numFmtId="0" fontId="20" fillId="12" borderId="7" xfId="0" applyFont="1" applyFill="1" applyBorder="1" applyAlignment="1">
      <alignment horizontal="left" vertical="top" wrapText="1"/>
    </xf>
    <xf numFmtId="0" fontId="20" fillId="12" borderId="8" xfId="0" applyFont="1" applyFill="1" applyBorder="1" applyAlignment="1">
      <alignment horizontal="left" vertical="top" wrapText="1"/>
    </xf>
    <xf numFmtId="0" fontId="20" fillId="12" borderId="9" xfId="0" applyFont="1" applyFill="1" applyBorder="1" applyAlignment="1">
      <alignment horizontal="left" vertical="top" wrapText="1"/>
    </xf>
    <xf numFmtId="0" fontId="20" fillId="12" borderId="0" xfId="0" applyFont="1" applyFill="1" applyBorder="1" applyAlignment="1">
      <alignment horizontal="left" vertical="top" wrapText="1"/>
    </xf>
    <xf numFmtId="0" fontId="20" fillId="12" borderId="10"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3CD"/>
      <rgbColor rgb="FFF2F4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66"/>
      <rgbColor rgb="FF9CA3AF"/>
      <rgbColor rgb="FF003366"/>
      <rgbColor rgb="FF339966"/>
      <rgbColor rgb="FF003300"/>
      <rgbColor rgb="FF555555"/>
      <rgbColor rgb="FF993300"/>
      <rgbColor rgb="FF993366"/>
      <rgbColor rgb="FF2E4057"/>
      <rgbColor rgb="FF1F2D3D"/>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5"/>
  <sheetViews>
    <sheetView showGridLines="0" tabSelected="1" zoomScale="110" zoomScaleNormal="100" workbookViewId="0">
      <selection activeCell="B30" sqref="B30"/>
    </sheetView>
  </sheetViews>
  <sheetFormatPr defaultColWidth="8.6640625" defaultRowHeight="14.4" x14ac:dyDescent="0.3"/>
  <cols>
    <col min="1" max="1" width="4" customWidth="1"/>
    <col min="2" max="2" width="40" customWidth="1"/>
    <col min="3" max="6" width="20" customWidth="1"/>
    <col min="7" max="7" width="4" customWidth="1"/>
  </cols>
  <sheetData>
    <row r="1" spans="2:6" ht="18" customHeight="1" x14ac:dyDescent="0.3"/>
    <row r="2" spans="2:6" ht="18" customHeight="1" x14ac:dyDescent="0.3">
      <c r="B2" s="30" t="s">
        <v>0</v>
      </c>
      <c r="C2" s="30"/>
      <c r="D2" s="30"/>
      <c r="E2" s="30"/>
      <c r="F2" s="30"/>
    </row>
    <row r="3" spans="2:6" ht="18" customHeight="1" x14ac:dyDescent="0.3">
      <c r="B3" s="30"/>
      <c r="C3" s="30"/>
      <c r="D3" s="30"/>
      <c r="E3" s="30"/>
      <c r="F3" s="30"/>
    </row>
    <row r="4" spans="2:6" ht="18" customHeight="1" x14ac:dyDescent="0.3">
      <c r="B4" s="30"/>
      <c r="C4" s="30"/>
      <c r="D4" s="30"/>
      <c r="E4" s="30"/>
      <c r="F4" s="30"/>
    </row>
    <row r="5" spans="2:6" ht="18" customHeight="1" x14ac:dyDescent="0.3">
      <c r="B5" s="31" t="s">
        <v>1</v>
      </c>
      <c r="C5" s="31"/>
      <c r="D5" s="31"/>
      <c r="E5" s="31"/>
      <c r="F5" s="31"/>
    </row>
    <row r="6" spans="2:6" ht="18" customHeight="1" x14ac:dyDescent="0.3">
      <c r="B6" s="32"/>
      <c r="C6" s="32"/>
      <c r="D6" s="32"/>
      <c r="E6" s="32"/>
      <c r="F6" s="32"/>
    </row>
    <row r="7" spans="2:6" ht="18" customHeight="1" x14ac:dyDescent="0.3">
      <c r="B7" s="1" t="s">
        <v>2</v>
      </c>
      <c r="C7" s="28" t="s">
        <v>3</v>
      </c>
      <c r="D7" s="28"/>
      <c r="E7" s="28"/>
      <c r="F7" s="28"/>
    </row>
    <row r="8" spans="2:6" ht="18" customHeight="1" x14ac:dyDescent="0.3">
      <c r="B8" s="1" t="s">
        <v>4</v>
      </c>
      <c r="C8" s="28" t="s">
        <v>5</v>
      </c>
      <c r="D8" s="28"/>
      <c r="E8" s="28"/>
      <c r="F8" s="28"/>
    </row>
    <row r="9" spans="2:6" ht="18" customHeight="1" x14ac:dyDescent="0.3">
      <c r="B9" s="1" t="s">
        <v>6</v>
      </c>
      <c r="C9" s="28" t="s">
        <v>7</v>
      </c>
      <c r="D9" s="28"/>
      <c r="E9" s="28"/>
      <c r="F9" s="28"/>
    </row>
    <row r="10" spans="2:6" ht="18" customHeight="1" x14ac:dyDescent="0.3">
      <c r="B10" s="1" t="s">
        <v>8</v>
      </c>
      <c r="C10" s="28" t="s">
        <v>9</v>
      </c>
      <c r="D10" s="28"/>
      <c r="E10" s="28"/>
      <c r="F10" s="28"/>
    </row>
    <row r="11" spans="2:6" ht="18" customHeight="1" x14ac:dyDescent="0.3">
      <c r="B11" s="1" t="s">
        <v>10</v>
      </c>
      <c r="C11" s="28" t="s">
        <v>11</v>
      </c>
      <c r="D11" s="28"/>
      <c r="E11" s="28"/>
      <c r="F11" s="28"/>
    </row>
    <row r="12" spans="2:6" ht="18" customHeight="1" x14ac:dyDescent="0.3"/>
    <row r="13" spans="2:6" ht="18" customHeight="1" x14ac:dyDescent="0.3">
      <c r="B13" s="29" t="s">
        <v>12</v>
      </c>
      <c r="C13" s="29"/>
      <c r="D13" s="29"/>
      <c r="E13" s="29"/>
      <c r="F13" s="29"/>
    </row>
    <row r="14" spans="2:6" ht="15.75" customHeight="1" x14ac:dyDescent="0.3">
      <c r="B14" s="27" t="s">
        <v>13</v>
      </c>
      <c r="C14" s="27"/>
      <c r="D14" s="27"/>
      <c r="E14" s="27"/>
      <c r="F14" s="27"/>
    </row>
    <row r="15" spans="2:6" ht="15.75" customHeight="1" x14ac:dyDescent="0.3">
      <c r="B15" s="27" t="s">
        <v>14</v>
      </c>
      <c r="C15" s="27"/>
      <c r="D15" s="27"/>
      <c r="E15" s="27"/>
      <c r="F15" s="27"/>
    </row>
    <row r="16" spans="2:6" ht="15.75" customHeight="1" x14ac:dyDescent="0.3">
      <c r="B16" s="27" t="s">
        <v>15</v>
      </c>
      <c r="C16" s="27"/>
      <c r="D16" s="27"/>
      <c r="E16" s="27"/>
      <c r="F16" s="27"/>
    </row>
    <row r="17" spans="2:6" ht="15.75" customHeight="1" x14ac:dyDescent="0.3">
      <c r="B17" s="27" t="s">
        <v>16</v>
      </c>
      <c r="C17" s="27"/>
      <c r="D17" s="27"/>
      <c r="E17" s="27"/>
      <c r="F17" s="27"/>
    </row>
    <row r="18" spans="2:6" ht="15.75" customHeight="1" x14ac:dyDescent="0.3">
      <c r="B18" s="27" t="s">
        <v>17</v>
      </c>
      <c r="C18" s="27"/>
      <c r="D18" s="27"/>
      <c r="E18" s="27"/>
      <c r="F18" s="27"/>
    </row>
    <row r="19" spans="2:6" ht="15.75" customHeight="1" x14ac:dyDescent="0.3">
      <c r="B19" s="27" t="s">
        <v>18</v>
      </c>
      <c r="C19" s="27"/>
      <c r="D19" s="27"/>
      <c r="E19" s="27"/>
      <c r="F19" s="27"/>
    </row>
    <row r="20" spans="2:6" ht="15.75" customHeight="1" x14ac:dyDescent="0.3">
      <c r="B20" s="15" t="s">
        <v>19</v>
      </c>
      <c r="C20" s="15"/>
      <c r="D20" s="15"/>
      <c r="E20" s="15"/>
      <c r="F20" s="15"/>
    </row>
    <row r="21" spans="2:6" ht="15.75" customHeight="1" x14ac:dyDescent="0.3">
      <c r="B21" s="27" t="s">
        <v>105</v>
      </c>
      <c r="C21" s="27"/>
      <c r="D21" s="27"/>
      <c r="E21" s="27"/>
      <c r="F21" s="27"/>
    </row>
    <row r="22" spans="2:6" ht="15.75" customHeight="1" x14ac:dyDescent="0.3">
      <c r="B22" s="27" t="s">
        <v>103</v>
      </c>
      <c r="C22" s="27"/>
      <c r="D22" s="27"/>
      <c r="E22" s="27"/>
      <c r="F22" s="27"/>
    </row>
    <row r="23" spans="2:6" ht="15.75" customHeight="1" x14ac:dyDescent="0.3">
      <c r="B23" s="15" t="s">
        <v>104</v>
      </c>
      <c r="C23" s="15"/>
      <c r="D23" s="15"/>
      <c r="E23" s="15"/>
      <c r="F23" s="15"/>
    </row>
    <row r="24" spans="2:6" ht="18" customHeight="1" x14ac:dyDescent="0.3"/>
    <row r="25" spans="2:6" ht="18" customHeight="1" x14ac:dyDescent="0.3">
      <c r="B25" s="26" t="s">
        <v>109</v>
      </c>
      <c r="C25" s="26"/>
      <c r="D25" s="26"/>
      <c r="E25" s="26"/>
      <c r="F25" s="26"/>
    </row>
    <row r="26" spans="2:6" ht="18" customHeight="1" x14ac:dyDescent="0.3"/>
    <row r="27" spans="2:6" ht="18" customHeight="1" x14ac:dyDescent="0.3"/>
    <row r="28" spans="2:6" ht="18" customHeight="1" x14ac:dyDescent="0.3"/>
    <row r="29" spans="2:6" ht="18" customHeight="1" x14ac:dyDescent="0.3"/>
    <row r="30" spans="2:6" ht="18" customHeight="1" x14ac:dyDescent="0.3"/>
    <row r="31" spans="2:6" ht="18" customHeight="1" x14ac:dyDescent="0.3"/>
    <row r="32" spans="2:6" ht="18" customHeight="1" x14ac:dyDescent="0.3"/>
    <row r="33" ht="18" customHeight="1" x14ac:dyDescent="0.3"/>
    <row r="34" ht="18" customHeight="1" x14ac:dyDescent="0.3"/>
    <row r="35" ht="18" customHeight="1" x14ac:dyDescent="0.3"/>
  </sheetData>
  <mergeCells count="17">
    <mergeCell ref="C10:F10"/>
    <mergeCell ref="C11:F11"/>
    <mergeCell ref="B13:F13"/>
    <mergeCell ref="B14:F14"/>
    <mergeCell ref="B2:F4"/>
    <mergeCell ref="B5:F6"/>
    <mergeCell ref="C7:F7"/>
    <mergeCell ref="C8:F8"/>
    <mergeCell ref="C9:F9"/>
    <mergeCell ref="B25:F25"/>
    <mergeCell ref="B15:F15"/>
    <mergeCell ref="B16:F16"/>
    <mergeCell ref="B17:F17"/>
    <mergeCell ref="B18:F18"/>
    <mergeCell ref="B19:F19"/>
    <mergeCell ref="B21:F21"/>
    <mergeCell ref="B22:F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84FAB-F84B-42AF-9222-D05C7D62AEF6}">
  <dimension ref="A1:N77"/>
  <sheetViews>
    <sheetView topLeftCell="A36" zoomScale="75" zoomScaleNormal="100" workbookViewId="0">
      <selection activeCell="S54" sqref="S54"/>
    </sheetView>
  </sheetViews>
  <sheetFormatPr defaultRowHeight="14.4" x14ac:dyDescent="0.3"/>
  <cols>
    <col min="1" max="1" width="3.21875" style="19" customWidth="1"/>
    <col min="2" max="2" width="8.88671875" style="19" customWidth="1"/>
    <col min="3" max="16384" width="8.88671875" style="19"/>
  </cols>
  <sheetData>
    <row r="1" spans="1:14" ht="21.75" customHeight="1" x14ac:dyDescent="0.3">
      <c r="A1"/>
      <c r="B1" s="25" t="s">
        <v>106</v>
      </c>
      <c r="C1" s="25"/>
      <c r="D1" s="25"/>
      <c r="E1" s="25"/>
      <c r="F1" s="25"/>
      <c r="G1" s="25"/>
      <c r="H1" s="25"/>
      <c r="I1" s="25"/>
      <c r="J1" s="25"/>
      <c r="K1" s="25"/>
      <c r="L1" s="25"/>
      <c r="M1" s="25"/>
      <c r="N1" s="25"/>
    </row>
    <row r="2" spans="1:14" x14ac:dyDescent="0.3">
      <c r="B2" s="61" t="s">
        <v>110</v>
      </c>
      <c r="C2" s="61"/>
      <c r="D2" s="61"/>
      <c r="E2" s="61"/>
      <c r="F2" s="61"/>
      <c r="G2" s="61"/>
      <c r="H2" s="61"/>
      <c r="I2" s="61"/>
      <c r="J2" s="61"/>
      <c r="K2" s="61"/>
      <c r="L2" s="61"/>
      <c r="M2" s="61"/>
      <c r="N2" s="61"/>
    </row>
    <row r="3" spans="1:14" ht="14.4" customHeight="1" x14ac:dyDescent="0.3">
      <c r="B3" s="62" t="s">
        <v>111</v>
      </c>
      <c r="C3" s="63"/>
      <c r="D3" s="63"/>
      <c r="E3" s="63"/>
      <c r="F3" s="63"/>
      <c r="G3" s="63"/>
      <c r="H3" s="63"/>
      <c r="I3" s="63"/>
      <c r="J3" s="63"/>
      <c r="K3" s="63"/>
      <c r="L3" s="63"/>
      <c r="M3" s="63"/>
      <c r="N3" s="64"/>
    </row>
    <row r="4" spans="1:14" x14ac:dyDescent="0.3">
      <c r="B4" s="65"/>
      <c r="C4" s="66"/>
      <c r="D4" s="66"/>
      <c r="E4" s="66"/>
      <c r="F4" s="66"/>
      <c r="G4" s="66"/>
      <c r="H4" s="66"/>
      <c r="I4" s="66"/>
      <c r="J4" s="66"/>
      <c r="K4" s="66"/>
      <c r="L4" s="66"/>
      <c r="M4" s="66"/>
      <c r="N4" s="67"/>
    </row>
    <row r="5" spans="1:14" x14ac:dyDescent="0.3">
      <c r="B5" s="65"/>
      <c r="C5" s="66"/>
      <c r="D5" s="66"/>
      <c r="E5" s="66"/>
      <c r="F5" s="66"/>
      <c r="G5" s="66"/>
      <c r="H5" s="66"/>
      <c r="I5" s="66"/>
      <c r="J5" s="66"/>
      <c r="K5" s="66"/>
      <c r="L5" s="66"/>
      <c r="M5" s="66"/>
      <c r="N5" s="67"/>
    </row>
    <row r="6" spans="1:14" x14ac:dyDescent="0.3">
      <c r="B6" s="65"/>
      <c r="C6" s="66"/>
      <c r="D6" s="66"/>
      <c r="E6" s="66"/>
      <c r="F6" s="66"/>
      <c r="G6" s="66"/>
      <c r="H6" s="66"/>
      <c r="I6" s="66"/>
      <c r="J6" s="66"/>
      <c r="K6" s="66"/>
      <c r="L6" s="66"/>
      <c r="M6" s="66"/>
      <c r="N6" s="67"/>
    </row>
    <row r="7" spans="1:14" x14ac:dyDescent="0.3">
      <c r="B7" s="68"/>
      <c r="C7" s="69"/>
      <c r="D7" s="69"/>
      <c r="E7" s="69"/>
      <c r="F7" s="69"/>
      <c r="G7" s="69"/>
      <c r="H7" s="69"/>
      <c r="I7" s="69"/>
      <c r="J7" s="69"/>
      <c r="K7" s="69"/>
      <c r="L7" s="69"/>
      <c r="M7" s="69"/>
      <c r="N7" s="70"/>
    </row>
    <row r="8" spans="1:14" ht="14.4" customHeight="1" x14ac:dyDescent="0.3">
      <c r="B8" s="62" t="s">
        <v>112</v>
      </c>
      <c r="C8" s="79"/>
      <c r="D8" s="79"/>
      <c r="E8" s="79"/>
      <c r="F8" s="79"/>
      <c r="G8" s="79"/>
      <c r="H8" s="79"/>
      <c r="I8" s="79"/>
      <c r="J8" s="79"/>
      <c r="K8" s="79"/>
      <c r="L8" s="79"/>
      <c r="M8" s="79"/>
      <c r="N8" s="80"/>
    </row>
    <row r="9" spans="1:14" x14ac:dyDescent="0.3">
      <c r="B9" s="81"/>
      <c r="C9" s="82"/>
      <c r="D9" s="82"/>
      <c r="E9" s="82"/>
      <c r="F9" s="82"/>
      <c r="G9" s="82"/>
      <c r="H9" s="82"/>
      <c r="I9" s="82"/>
      <c r="J9" s="82"/>
      <c r="K9" s="82"/>
      <c r="L9" s="82"/>
      <c r="M9" s="82"/>
      <c r="N9" s="83"/>
    </row>
    <row r="10" spans="1:14" x14ac:dyDescent="0.3">
      <c r="B10" s="81"/>
      <c r="C10" s="82"/>
      <c r="D10" s="82"/>
      <c r="E10" s="82"/>
      <c r="F10" s="82"/>
      <c r="G10" s="82"/>
      <c r="H10" s="82"/>
      <c r="I10" s="82"/>
      <c r="J10" s="82"/>
      <c r="K10" s="82"/>
      <c r="L10" s="82"/>
      <c r="M10" s="82"/>
      <c r="N10" s="83"/>
    </row>
    <row r="11" spans="1:14" x14ac:dyDescent="0.3">
      <c r="B11" s="81"/>
      <c r="C11" s="82"/>
      <c r="D11" s="82"/>
      <c r="E11" s="82"/>
      <c r="F11" s="82"/>
      <c r="G11" s="82"/>
      <c r="H11" s="82"/>
      <c r="I11" s="82"/>
      <c r="J11" s="82"/>
      <c r="K11" s="82"/>
      <c r="L11" s="82"/>
      <c r="M11" s="82"/>
      <c r="N11" s="83"/>
    </row>
    <row r="12" spans="1:14" x14ac:dyDescent="0.3">
      <c r="B12" s="81"/>
      <c r="C12" s="82"/>
      <c r="D12" s="82"/>
      <c r="E12" s="82"/>
      <c r="F12" s="82"/>
      <c r="G12" s="82"/>
      <c r="H12" s="82"/>
      <c r="I12" s="82"/>
      <c r="J12" s="82"/>
      <c r="K12" s="82"/>
      <c r="L12" s="82"/>
      <c r="M12" s="82"/>
      <c r="N12" s="83"/>
    </row>
    <row r="13" spans="1:14" x14ac:dyDescent="0.3">
      <c r="B13" s="81"/>
      <c r="C13" s="82"/>
      <c r="D13" s="82"/>
      <c r="E13" s="82"/>
      <c r="F13" s="82"/>
      <c r="G13" s="82"/>
      <c r="H13" s="82"/>
      <c r="I13" s="82"/>
      <c r="J13" s="82"/>
      <c r="K13" s="82"/>
      <c r="L13" s="82"/>
      <c r="M13" s="82"/>
      <c r="N13" s="83"/>
    </row>
    <row r="14" spans="1:14" ht="13.8" customHeight="1" x14ac:dyDescent="0.3">
      <c r="B14" s="62" t="s">
        <v>113</v>
      </c>
      <c r="C14" s="63"/>
      <c r="D14" s="63"/>
      <c r="E14" s="63"/>
      <c r="F14" s="63"/>
      <c r="G14" s="63"/>
      <c r="H14" s="63"/>
      <c r="I14" s="63"/>
      <c r="J14" s="63"/>
      <c r="K14" s="63"/>
      <c r="L14" s="63"/>
      <c r="M14" s="63"/>
      <c r="N14" s="64"/>
    </row>
    <row r="15" spans="1:14" x14ac:dyDescent="0.3">
      <c r="B15" s="65"/>
      <c r="C15" s="66"/>
      <c r="D15" s="66"/>
      <c r="E15" s="66"/>
      <c r="F15" s="66"/>
      <c r="G15" s="66"/>
      <c r="H15" s="66"/>
      <c r="I15" s="66"/>
      <c r="J15" s="66"/>
      <c r="K15" s="66"/>
      <c r="L15" s="66"/>
      <c r="M15" s="66"/>
      <c r="N15" s="67"/>
    </row>
    <row r="16" spans="1:14" x14ac:dyDescent="0.3">
      <c r="B16" s="65"/>
      <c r="C16" s="66"/>
      <c r="D16" s="66"/>
      <c r="E16" s="66"/>
      <c r="F16" s="66"/>
      <c r="G16" s="66"/>
      <c r="H16" s="66"/>
      <c r="I16" s="66"/>
      <c r="J16" s="66"/>
      <c r="K16" s="66"/>
      <c r="L16" s="66"/>
      <c r="M16" s="66"/>
      <c r="N16" s="67"/>
    </row>
    <row r="17" spans="2:14" x14ac:dyDescent="0.3">
      <c r="B17" s="65"/>
      <c r="C17" s="66"/>
      <c r="D17" s="66"/>
      <c r="E17" s="66"/>
      <c r="F17" s="66"/>
      <c r="G17" s="66"/>
      <c r="H17" s="66"/>
      <c r="I17" s="66"/>
      <c r="J17" s="66"/>
      <c r="K17" s="66"/>
      <c r="L17" s="66"/>
      <c r="M17" s="66"/>
      <c r="N17" s="67"/>
    </row>
    <row r="18" spans="2:14" x14ac:dyDescent="0.3">
      <c r="B18" s="65"/>
      <c r="C18" s="66"/>
      <c r="D18" s="66"/>
      <c r="E18" s="66"/>
      <c r="F18" s="66"/>
      <c r="G18" s="66"/>
      <c r="H18" s="66"/>
      <c r="I18" s="66"/>
      <c r="J18" s="66"/>
      <c r="K18" s="66"/>
      <c r="L18" s="66"/>
      <c r="M18" s="66"/>
      <c r="N18" s="67"/>
    </row>
    <row r="19" spans="2:14" x14ac:dyDescent="0.3">
      <c r="B19" s="65"/>
      <c r="C19" s="66"/>
      <c r="D19" s="66"/>
      <c r="E19" s="66"/>
      <c r="F19" s="66"/>
      <c r="G19" s="66"/>
      <c r="H19" s="66"/>
      <c r="I19" s="66"/>
      <c r="J19" s="66"/>
      <c r="K19" s="66"/>
      <c r="L19" s="66"/>
      <c r="M19" s="66"/>
      <c r="N19" s="67"/>
    </row>
    <row r="20" spans="2:14" x14ac:dyDescent="0.3">
      <c r="B20" s="65"/>
      <c r="C20" s="66"/>
      <c r="D20" s="66"/>
      <c r="E20" s="66"/>
      <c r="F20" s="66"/>
      <c r="G20" s="66"/>
      <c r="H20" s="66"/>
      <c r="I20" s="66"/>
      <c r="J20" s="66"/>
      <c r="K20" s="66"/>
      <c r="L20" s="66"/>
      <c r="M20" s="66"/>
      <c r="N20" s="67"/>
    </row>
    <row r="21" spans="2:14" x14ac:dyDescent="0.3">
      <c r="B21" s="65"/>
      <c r="C21" s="66"/>
      <c r="D21" s="66"/>
      <c r="E21" s="66"/>
      <c r="F21" s="66"/>
      <c r="G21" s="66"/>
      <c r="H21" s="66"/>
      <c r="I21" s="66"/>
      <c r="J21" s="66"/>
      <c r="K21" s="66"/>
      <c r="L21" s="66"/>
      <c r="M21" s="66"/>
      <c r="N21" s="67"/>
    </row>
    <row r="22" spans="2:14" x14ac:dyDescent="0.3">
      <c r="B22" s="65"/>
      <c r="C22" s="66"/>
      <c r="D22" s="66"/>
      <c r="E22" s="66"/>
      <c r="F22" s="66"/>
      <c r="G22" s="66"/>
      <c r="H22" s="66"/>
      <c r="I22" s="66"/>
      <c r="J22" s="66"/>
      <c r="K22" s="66"/>
      <c r="L22" s="66"/>
      <c r="M22" s="66"/>
      <c r="N22" s="67"/>
    </row>
    <row r="23" spans="2:14" x14ac:dyDescent="0.3">
      <c r="B23" s="65"/>
      <c r="C23" s="66"/>
      <c r="D23" s="66"/>
      <c r="E23" s="66"/>
      <c r="F23" s="66"/>
      <c r="G23" s="66"/>
      <c r="H23" s="66"/>
      <c r="I23" s="66"/>
      <c r="J23" s="66"/>
      <c r="K23" s="66"/>
      <c r="L23" s="66"/>
      <c r="M23" s="66"/>
      <c r="N23" s="67"/>
    </row>
    <row r="24" spans="2:14" x14ac:dyDescent="0.3">
      <c r="B24" s="65"/>
      <c r="C24" s="66"/>
      <c r="D24" s="66"/>
      <c r="E24" s="66"/>
      <c r="F24" s="66"/>
      <c r="G24" s="66"/>
      <c r="H24" s="66"/>
      <c r="I24" s="66"/>
      <c r="J24" s="66"/>
      <c r="K24" s="66"/>
      <c r="L24" s="66"/>
      <c r="M24" s="66"/>
      <c r="N24" s="67"/>
    </row>
    <row r="25" spans="2:14" x14ac:dyDescent="0.3">
      <c r="B25" s="65"/>
      <c r="C25" s="66"/>
      <c r="D25" s="66"/>
      <c r="E25" s="66"/>
      <c r="F25" s="66"/>
      <c r="G25" s="66"/>
      <c r="H25" s="66"/>
      <c r="I25" s="66"/>
      <c r="J25" s="66"/>
      <c r="K25" s="66"/>
      <c r="L25" s="66"/>
      <c r="M25" s="66"/>
      <c r="N25" s="67"/>
    </row>
    <row r="26" spans="2:14" x14ac:dyDescent="0.3">
      <c r="B26" s="65"/>
      <c r="C26" s="66"/>
      <c r="D26" s="66"/>
      <c r="E26" s="66"/>
      <c r="F26" s="66"/>
      <c r="G26" s="66"/>
      <c r="H26" s="66"/>
      <c r="I26" s="66"/>
      <c r="J26" s="66"/>
      <c r="K26" s="66"/>
      <c r="L26" s="66"/>
      <c r="M26" s="66"/>
      <c r="N26" s="67"/>
    </row>
    <row r="27" spans="2:14" x14ac:dyDescent="0.3">
      <c r="B27" s="65"/>
      <c r="C27" s="66"/>
      <c r="D27" s="66"/>
      <c r="E27" s="66"/>
      <c r="F27" s="66"/>
      <c r="G27" s="66"/>
      <c r="H27" s="66"/>
      <c r="I27" s="66"/>
      <c r="J27" s="66"/>
      <c r="K27" s="66"/>
      <c r="L27" s="66"/>
      <c r="M27" s="66"/>
      <c r="N27" s="67"/>
    </row>
    <row r="28" spans="2:14" x14ac:dyDescent="0.3">
      <c r="B28" s="65"/>
      <c r="C28" s="66"/>
      <c r="D28" s="66"/>
      <c r="E28" s="66"/>
      <c r="F28" s="66"/>
      <c r="G28" s="66"/>
      <c r="H28" s="66"/>
      <c r="I28" s="66"/>
      <c r="J28" s="66"/>
      <c r="K28" s="66"/>
      <c r="L28" s="66"/>
      <c r="M28" s="66"/>
      <c r="N28" s="67"/>
    </row>
    <row r="29" spans="2:14" x14ac:dyDescent="0.3">
      <c r="B29" s="65"/>
      <c r="C29" s="66"/>
      <c r="D29" s="66"/>
      <c r="E29" s="66"/>
      <c r="F29" s="66"/>
      <c r="G29" s="66"/>
      <c r="H29" s="66"/>
      <c r="I29" s="66"/>
      <c r="J29" s="66"/>
      <c r="K29" s="66"/>
      <c r="L29" s="66"/>
      <c r="M29" s="66"/>
      <c r="N29" s="67"/>
    </row>
    <row r="30" spans="2:14" x14ac:dyDescent="0.3">
      <c r="B30" s="65"/>
      <c r="C30" s="66"/>
      <c r="D30" s="66"/>
      <c r="E30" s="66"/>
      <c r="F30" s="66"/>
      <c r="G30" s="66"/>
      <c r="H30" s="66"/>
      <c r="I30" s="66"/>
      <c r="J30" s="66"/>
      <c r="K30" s="66"/>
      <c r="L30" s="66"/>
      <c r="M30" s="66"/>
      <c r="N30" s="67"/>
    </row>
    <row r="31" spans="2:14" x14ac:dyDescent="0.3">
      <c r="B31" s="65"/>
      <c r="C31" s="66"/>
      <c r="D31" s="66"/>
      <c r="E31" s="66"/>
      <c r="F31" s="66"/>
      <c r="G31" s="66"/>
      <c r="H31" s="66"/>
      <c r="I31" s="66"/>
      <c r="J31" s="66"/>
      <c r="K31" s="66"/>
      <c r="L31" s="66"/>
      <c r="M31" s="66"/>
      <c r="N31" s="67"/>
    </row>
    <row r="32" spans="2:14" x14ac:dyDescent="0.3">
      <c r="B32" s="65"/>
      <c r="C32" s="66"/>
      <c r="D32" s="66"/>
      <c r="E32" s="66"/>
      <c r="F32" s="66"/>
      <c r="G32" s="66"/>
      <c r="H32" s="66"/>
      <c r="I32" s="66"/>
      <c r="J32" s="66"/>
      <c r="K32" s="66"/>
      <c r="L32" s="66"/>
      <c r="M32" s="66"/>
      <c r="N32" s="67"/>
    </row>
    <row r="33" spans="2:14" x14ac:dyDescent="0.3">
      <c r="B33" s="65"/>
      <c r="C33" s="66"/>
      <c r="D33" s="66"/>
      <c r="E33" s="66"/>
      <c r="F33" s="66"/>
      <c r="G33" s="66"/>
      <c r="H33" s="66"/>
      <c r="I33" s="66"/>
      <c r="J33" s="66"/>
      <c r="K33" s="66"/>
      <c r="L33" s="66"/>
      <c r="M33" s="66"/>
      <c r="N33" s="67"/>
    </row>
    <row r="34" spans="2:14" x14ac:dyDescent="0.3">
      <c r="B34" s="65"/>
      <c r="C34" s="66"/>
      <c r="D34" s="66"/>
      <c r="E34" s="66"/>
      <c r="F34" s="66"/>
      <c r="G34" s="66"/>
      <c r="H34" s="66"/>
      <c r="I34" s="66"/>
      <c r="J34" s="66"/>
      <c r="K34" s="66"/>
      <c r="L34" s="66"/>
      <c r="M34" s="66"/>
      <c r="N34" s="67"/>
    </row>
    <row r="35" spans="2:14" x14ac:dyDescent="0.3">
      <c r="B35" s="65"/>
      <c r="C35" s="66"/>
      <c r="D35" s="66"/>
      <c r="E35" s="66"/>
      <c r="F35" s="66"/>
      <c r="G35" s="66"/>
      <c r="H35" s="66"/>
      <c r="I35" s="66"/>
      <c r="J35" s="66"/>
      <c r="K35" s="66"/>
      <c r="L35" s="66"/>
      <c r="M35" s="66"/>
      <c r="N35" s="67"/>
    </row>
    <row r="36" spans="2:14" x14ac:dyDescent="0.3">
      <c r="B36" s="65"/>
      <c r="C36" s="66"/>
      <c r="D36" s="66"/>
      <c r="E36" s="66"/>
      <c r="F36" s="66"/>
      <c r="G36" s="66"/>
      <c r="H36" s="66"/>
      <c r="I36" s="66"/>
      <c r="J36" s="66"/>
      <c r="K36" s="66"/>
      <c r="L36" s="66"/>
      <c r="M36" s="66"/>
      <c r="N36" s="67"/>
    </row>
    <row r="37" spans="2:14" x14ac:dyDescent="0.3">
      <c r="B37" s="65"/>
      <c r="C37" s="66"/>
      <c r="D37" s="66"/>
      <c r="E37" s="66"/>
      <c r="F37" s="66"/>
      <c r="G37" s="66"/>
      <c r="H37" s="66"/>
      <c r="I37" s="66"/>
      <c r="J37" s="66"/>
      <c r="K37" s="66"/>
      <c r="L37" s="66"/>
      <c r="M37" s="66"/>
      <c r="N37" s="67"/>
    </row>
    <row r="38" spans="2:14" ht="3" customHeight="1" x14ac:dyDescent="0.3">
      <c r="B38" s="65"/>
      <c r="C38" s="66"/>
      <c r="D38" s="66"/>
      <c r="E38" s="66"/>
      <c r="F38" s="66"/>
      <c r="G38" s="66"/>
      <c r="H38" s="66"/>
      <c r="I38" s="66"/>
      <c r="J38" s="66"/>
      <c r="K38" s="66"/>
      <c r="L38" s="66"/>
      <c r="M38" s="66"/>
      <c r="N38" s="67"/>
    </row>
    <row r="39" spans="2:14" ht="0.6" customHeight="1" x14ac:dyDescent="0.3">
      <c r="B39" s="65"/>
      <c r="C39" s="66"/>
      <c r="D39" s="66"/>
      <c r="E39" s="66"/>
      <c r="F39" s="66"/>
      <c r="G39" s="66"/>
      <c r="H39" s="66"/>
      <c r="I39" s="66"/>
      <c r="J39" s="66"/>
      <c r="K39" s="66"/>
      <c r="L39" s="66"/>
      <c r="M39" s="66"/>
      <c r="N39" s="67"/>
    </row>
    <row r="40" spans="2:14" ht="4.8" customHeight="1" x14ac:dyDescent="0.3">
      <c r="B40" s="68"/>
      <c r="C40" s="69"/>
      <c r="D40" s="69"/>
      <c r="E40" s="69"/>
      <c r="F40" s="69"/>
      <c r="G40" s="69"/>
      <c r="H40" s="69"/>
      <c r="I40" s="69"/>
      <c r="J40" s="69"/>
      <c r="K40" s="69"/>
      <c r="L40" s="69"/>
      <c r="M40" s="69"/>
      <c r="N40" s="70"/>
    </row>
    <row r="41" spans="2:14" x14ac:dyDescent="0.3">
      <c r="B41" s="62" t="s">
        <v>114</v>
      </c>
      <c r="C41" s="71"/>
      <c r="D41" s="71"/>
      <c r="E41" s="71"/>
      <c r="F41" s="71"/>
      <c r="G41" s="71"/>
      <c r="H41" s="71"/>
      <c r="I41" s="71"/>
      <c r="J41" s="71"/>
      <c r="K41" s="71"/>
      <c r="L41" s="71"/>
      <c r="M41" s="71"/>
      <c r="N41" s="72"/>
    </row>
    <row r="42" spans="2:14" x14ac:dyDescent="0.3">
      <c r="B42" s="73"/>
      <c r="C42" s="74"/>
      <c r="D42" s="74"/>
      <c r="E42" s="74"/>
      <c r="F42" s="74"/>
      <c r="G42" s="74"/>
      <c r="H42" s="74"/>
      <c r="I42" s="74"/>
      <c r="J42" s="74"/>
      <c r="K42" s="74"/>
      <c r="L42" s="74"/>
      <c r="M42" s="74"/>
      <c r="N42" s="75"/>
    </row>
    <row r="43" spans="2:14" x14ac:dyDescent="0.3">
      <c r="B43" s="73"/>
      <c r="C43" s="74"/>
      <c r="D43" s="74"/>
      <c r="E43" s="74"/>
      <c r="F43" s="74"/>
      <c r="G43" s="74"/>
      <c r="H43" s="74"/>
      <c r="I43" s="74"/>
      <c r="J43" s="74"/>
      <c r="K43" s="74"/>
      <c r="L43" s="74"/>
      <c r="M43" s="74"/>
      <c r="N43" s="75"/>
    </row>
    <row r="44" spans="2:14" x14ac:dyDescent="0.3">
      <c r="B44" s="73"/>
      <c r="C44" s="74"/>
      <c r="D44" s="74"/>
      <c r="E44" s="74"/>
      <c r="F44" s="74"/>
      <c r="G44" s="74"/>
      <c r="H44" s="74"/>
      <c r="I44" s="74"/>
      <c r="J44" s="74"/>
      <c r="K44" s="74"/>
      <c r="L44" s="74"/>
      <c r="M44" s="74"/>
      <c r="N44" s="75"/>
    </row>
    <row r="45" spans="2:14" x14ac:dyDescent="0.3">
      <c r="B45" s="73"/>
      <c r="C45" s="74"/>
      <c r="D45" s="74"/>
      <c r="E45" s="74"/>
      <c r="F45" s="74"/>
      <c r="G45" s="74"/>
      <c r="H45" s="74"/>
      <c r="I45" s="74"/>
      <c r="J45" s="74"/>
      <c r="K45" s="74"/>
      <c r="L45" s="74"/>
      <c r="M45" s="74"/>
      <c r="N45" s="75"/>
    </row>
    <row r="46" spans="2:14" x14ac:dyDescent="0.3">
      <c r="B46" s="73"/>
      <c r="C46" s="74"/>
      <c r="D46" s="74"/>
      <c r="E46" s="74"/>
      <c r="F46" s="74"/>
      <c r="G46" s="74"/>
      <c r="H46" s="74"/>
      <c r="I46" s="74"/>
      <c r="J46" s="74"/>
      <c r="K46" s="74"/>
      <c r="L46" s="74"/>
      <c r="M46" s="74"/>
      <c r="N46" s="75"/>
    </row>
    <row r="47" spans="2:14" x14ac:dyDescent="0.3">
      <c r="B47" s="73"/>
      <c r="C47" s="74"/>
      <c r="D47" s="74"/>
      <c r="E47" s="74"/>
      <c r="F47" s="74"/>
      <c r="G47" s="74"/>
      <c r="H47" s="74"/>
      <c r="I47" s="74"/>
      <c r="J47" s="74"/>
      <c r="K47" s="74"/>
      <c r="L47" s="74"/>
      <c r="M47" s="74"/>
      <c r="N47" s="75"/>
    </row>
    <row r="48" spans="2:14" x14ac:dyDescent="0.3">
      <c r="B48" s="73"/>
      <c r="C48" s="74"/>
      <c r="D48" s="74"/>
      <c r="E48" s="74"/>
      <c r="F48" s="74"/>
      <c r="G48" s="74"/>
      <c r="H48" s="74"/>
      <c r="I48" s="74"/>
      <c r="J48" s="74"/>
      <c r="K48" s="74"/>
      <c r="L48" s="74"/>
      <c r="M48" s="74"/>
      <c r="N48" s="75"/>
    </row>
    <row r="49" spans="2:14" x14ac:dyDescent="0.3">
      <c r="B49" s="73"/>
      <c r="C49" s="74"/>
      <c r="D49" s="74"/>
      <c r="E49" s="74"/>
      <c r="F49" s="74"/>
      <c r="G49" s="74"/>
      <c r="H49" s="74"/>
      <c r="I49" s="74"/>
      <c r="J49" s="74"/>
      <c r="K49" s="74"/>
      <c r="L49" s="74"/>
      <c r="M49" s="74"/>
      <c r="N49" s="75"/>
    </row>
    <row r="50" spans="2:14" x14ac:dyDescent="0.3">
      <c r="B50" s="73"/>
      <c r="C50" s="74"/>
      <c r="D50" s="74"/>
      <c r="E50" s="74"/>
      <c r="F50" s="74"/>
      <c r="G50" s="74"/>
      <c r="H50" s="74"/>
      <c r="I50" s="74"/>
      <c r="J50" s="74"/>
      <c r="K50" s="74"/>
      <c r="L50" s="74"/>
      <c r="M50" s="74"/>
      <c r="N50" s="75"/>
    </row>
    <row r="51" spans="2:14" x14ac:dyDescent="0.3">
      <c r="B51" s="73"/>
      <c r="C51" s="74"/>
      <c r="D51" s="74"/>
      <c r="E51" s="74"/>
      <c r="F51" s="74"/>
      <c r="G51" s="74"/>
      <c r="H51" s="74"/>
      <c r="I51" s="74"/>
      <c r="J51" s="74"/>
      <c r="K51" s="74"/>
      <c r="L51" s="74"/>
      <c r="M51" s="74"/>
      <c r="N51" s="75"/>
    </row>
    <row r="52" spans="2:14" x14ac:dyDescent="0.3">
      <c r="B52" s="73"/>
      <c r="C52" s="74"/>
      <c r="D52" s="74"/>
      <c r="E52" s="74"/>
      <c r="F52" s="74"/>
      <c r="G52" s="74"/>
      <c r="H52" s="74"/>
      <c r="I52" s="74"/>
      <c r="J52" s="74"/>
      <c r="K52" s="74"/>
      <c r="L52" s="74"/>
      <c r="M52" s="74"/>
      <c r="N52" s="75"/>
    </row>
    <row r="53" spans="2:14" x14ac:dyDescent="0.3">
      <c r="B53" s="73"/>
      <c r="C53" s="74"/>
      <c r="D53" s="74"/>
      <c r="E53" s="74"/>
      <c r="F53" s="74"/>
      <c r="G53" s="74"/>
      <c r="H53" s="74"/>
      <c r="I53" s="74"/>
      <c r="J53" s="74"/>
      <c r="K53" s="74"/>
      <c r="L53" s="74"/>
      <c r="M53" s="74"/>
      <c r="N53" s="75"/>
    </row>
    <row r="54" spans="2:14" x14ac:dyDescent="0.3">
      <c r="B54" s="73"/>
      <c r="C54" s="74"/>
      <c r="D54" s="74"/>
      <c r="E54" s="74"/>
      <c r="F54" s="74"/>
      <c r="G54" s="74"/>
      <c r="H54" s="74"/>
      <c r="I54" s="74"/>
      <c r="J54" s="74"/>
      <c r="K54" s="74"/>
      <c r="L54" s="74"/>
      <c r="M54" s="74"/>
      <c r="N54" s="75"/>
    </row>
    <row r="55" spans="2:14" x14ac:dyDescent="0.3">
      <c r="B55" s="73"/>
      <c r="C55" s="74"/>
      <c r="D55" s="74"/>
      <c r="E55" s="74"/>
      <c r="F55" s="74"/>
      <c r="G55" s="74"/>
      <c r="H55" s="74"/>
      <c r="I55" s="74"/>
      <c r="J55" s="74"/>
      <c r="K55" s="74"/>
      <c r="L55" s="74"/>
      <c r="M55" s="74"/>
      <c r="N55" s="75"/>
    </row>
    <row r="56" spans="2:14" x14ac:dyDescent="0.3">
      <c r="B56" s="73"/>
      <c r="C56" s="74"/>
      <c r="D56" s="74"/>
      <c r="E56" s="74"/>
      <c r="F56" s="74"/>
      <c r="G56" s="74"/>
      <c r="H56" s="74"/>
      <c r="I56" s="74"/>
      <c r="J56" s="74"/>
      <c r="K56" s="74"/>
      <c r="L56" s="74"/>
      <c r="M56" s="74"/>
      <c r="N56" s="75"/>
    </row>
    <row r="57" spans="2:14" x14ac:dyDescent="0.3">
      <c r="B57" s="73"/>
      <c r="C57" s="74"/>
      <c r="D57" s="74"/>
      <c r="E57" s="74"/>
      <c r="F57" s="74"/>
      <c r="G57" s="74"/>
      <c r="H57" s="74"/>
      <c r="I57" s="74"/>
      <c r="J57" s="74"/>
      <c r="K57" s="74"/>
      <c r="L57" s="74"/>
      <c r="M57" s="74"/>
      <c r="N57" s="75"/>
    </row>
    <row r="58" spans="2:14" x14ac:dyDescent="0.3">
      <c r="B58" s="73"/>
      <c r="C58" s="74"/>
      <c r="D58" s="74"/>
      <c r="E58" s="74"/>
      <c r="F58" s="74"/>
      <c r="G58" s="74"/>
      <c r="H58" s="74"/>
      <c r="I58" s="74"/>
      <c r="J58" s="74"/>
      <c r="K58" s="74"/>
      <c r="L58" s="74"/>
      <c r="M58" s="74"/>
      <c r="N58" s="75"/>
    </row>
    <row r="59" spans="2:14" x14ac:dyDescent="0.3">
      <c r="B59" s="73"/>
      <c r="C59" s="74"/>
      <c r="D59" s="74"/>
      <c r="E59" s="74"/>
      <c r="F59" s="74"/>
      <c r="G59" s="74"/>
      <c r="H59" s="74"/>
      <c r="I59" s="74"/>
      <c r="J59" s="74"/>
      <c r="K59" s="74"/>
      <c r="L59" s="74"/>
      <c r="M59" s="74"/>
      <c r="N59" s="75"/>
    </row>
    <row r="60" spans="2:14" x14ac:dyDescent="0.3">
      <c r="B60" s="73"/>
      <c r="C60" s="74"/>
      <c r="D60" s="74"/>
      <c r="E60" s="74"/>
      <c r="F60" s="74"/>
      <c r="G60" s="74"/>
      <c r="H60" s="74"/>
      <c r="I60" s="74"/>
      <c r="J60" s="74"/>
      <c r="K60" s="74"/>
      <c r="L60" s="74"/>
      <c r="M60" s="74"/>
      <c r="N60" s="75"/>
    </row>
    <row r="61" spans="2:14" x14ac:dyDescent="0.3">
      <c r="B61" s="73"/>
      <c r="C61" s="74"/>
      <c r="D61" s="74"/>
      <c r="E61" s="74"/>
      <c r="F61" s="74"/>
      <c r="G61" s="74"/>
      <c r="H61" s="74"/>
      <c r="I61" s="74"/>
      <c r="J61" s="74"/>
      <c r="K61" s="74"/>
      <c r="L61" s="74"/>
      <c r="M61" s="74"/>
      <c r="N61" s="75"/>
    </row>
    <row r="62" spans="2:14" ht="6" customHeight="1" x14ac:dyDescent="0.3">
      <c r="B62" s="73"/>
      <c r="C62" s="74"/>
      <c r="D62" s="74"/>
      <c r="E62" s="74"/>
      <c r="F62" s="74"/>
      <c r="G62" s="74"/>
      <c r="H62" s="74"/>
      <c r="I62" s="74"/>
      <c r="J62" s="74"/>
      <c r="K62" s="74"/>
      <c r="L62" s="74"/>
      <c r="M62" s="74"/>
      <c r="N62" s="75"/>
    </row>
    <row r="63" spans="2:14" ht="14.4" hidden="1" customHeight="1" x14ac:dyDescent="0.3">
      <c r="B63" s="73"/>
      <c r="C63" s="74"/>
      <c r="D63" s="74"/>
      <c r="E63" s="74"/>
      <c r="F63" s="74"/>
      <c r="G63" s="74"/>
      <c r="H63" s="74"/>
      <c r="I63" s="74"/>
      <c r="J63" s="74"/>
      <c r="K63" s="74"/>
      <c r="L63" s="74"/>
      <c r="M63" s="74"/>
      <c r="N63" s="75"/>
    </row>
    <row r="64" spans="2:14" hidden="1" x14ac:dyDescent="0.3">
      <c r="B64" s="73"/>
      <c r="C64" s="74"/>
      <c r="D64" s="74"/>
      <c r="E64" s="74"/>
      <c r="F64" s="74"/>
      <c r="G64" s="74"/>
      <c r="H64" s="74"/>
      <c r="I64" s="74"/>
      <c r="J64" s="74"/>
      <c r="K64" s="74"/>
      <c r="L64" s="74"/>
      <c r="M64" s="74"/>
      <c r="N64" s="75"/>
    </row>
    <row r="65" spans="2:14" hidden="1" x14ac:dyDescent="0.3">
      <c r="B65" s="73"/>
      <c r="C65" s="74"/>
      <c r="D65" s="74"/>
      <c r="E65" s="74"/>
      <c r="F65" s="74"/>
      <c r="G65" s="74"/>
      <c r="H65" s="74"/>
      <c r="I65" s="74"/>
      <c r="J65" s="74"/>
      <c r="K65" s="74"/>
      <c r="L65" s="74"/>
      <c r="M65" s="74"/>
      <c r="N65" s="75"/>
    </row>
    <row r="66" spans="2:14" hidden="1" x14ac:dyDescent="0.3">
      <c r="B66" s="73"/>
      <c r="C66" s="74"/>
      <c r="D66" s="74"/>
      <c r="E66" s="74"/>
      <c r="F66" s="74"/>
      <c r="G66" s="74"/>
      <c r="H66" s="74"/>
      <c r="I66" s="74"/>
      <c r="J66" s="74"/>
      <c r="K66" s="74"/>
      <c r="L66" s="74"/>
      <c r="M66" s="74"/>
      <c r="N66" s="75"/>
    </row>
    <row r="67" spans="2:14" hidden="1" x14ac:dyDescent="0.3">
      <c r="B67" s="73"/>
      <c r="C67" s="74"/>
      <c r="D67" s="74"/>
      <c r="E67" s="74"/>
      <c r="F67" s="74"/>
      <c r="G67" s="74"/>
      <c r="H67" s="74"/>
      <c r="I67" s="74"/>
      <c r="J67" s="74"/>
      <c r="K67" s="74"/>
      <c r="L67" s="74"/>
      <c r="M67" s="74"/>
      <c r="N67" s="75"/>
    </row>
    <row r="68" spans="2:14" hidden="1" x14ac:dyDescent="0.3">
      <c r="B68" s="73"/>
      <c r="C68" s="74"/>
      <c r="D68" s="74"/>
      <c r="E68" s="74"/>
      <c r="F68" s="74"/>
      <c r="G68" s="74"/>
      <c r="H68" s="74"/>
      <c r="I68" s="74"/>
      <c r="J68" s="74"/>
      <c r="K68" s="74"/>
      <c r="L68" s="74"/>
      <c r="M68" s="74"/>
      <c r="N68" s="75"/>
    </row>
    <row r="69" spans="2:14" hidden="1" x14ac:dyDescent="0.3">
      <c r="B69" s="73"/>
      <c r="C69" s="74"/>
      <c r="D69" s="74"/>
      <c r="E69" s="74"/>
      <c r="F69" s="74"/>
      <c r="G69" s="74"/>
      <c r="H69" s="74"/>
      <c r="I69" s="74"/>
      <c r="J69" s="74"/>
      <c r="K69" s="74"/>
      <c r="L69" s="74"/>
      <c r="M69" s="74"/>
      <c r="N69" s="75"/>
    </row>
    <row r="70" spans="2:14" hidden="1" x14ac:dyDescent="0.3">
      <c r="B70" s="73"/>
      <c r="C70" s="74"/>
      <c r="D70" s="74"/>
      <c r="E70" s="74"/>
      <c r="F70" s="74"/>
      <c r="G70" s="74"/>
      <c r="H70" s="74"/>
      <c r="I70" s="74"/>
      <c r="J70" s="74"/>
      <c r="K70" s="74"/>
      <c r="L70" s="74"/>
      <c r="M70" s="74"/>
      <c r="N70" s="75"/>
    </row>
    <row r="71" spans="2:14" hidden="1" x14ac:dyDescent="0.3">
      <c r="B71" s="73"/>
      <c r="C71" s="74"/>
      <c r="D71" s="74"/>
      <c r="E71" s="74"/>
      <c r="F71" s="74"/>
      <c r="G71" s="74"/>
      <c r="H71" s="74"/>
      <c r="I71" s="74"/>
      <c r="J71" s="74"/>
      <c r="K71" s="74"/>
      <c r="L71" s="74"/>
      <c r="M71" s="74"/>
      <c r="N71" s="75"/>
    </row>
    <row r="72" spans="2:14" hidden="1" x14ac:dyDescent="0.3">
      <c r="B72" s="73"/>
      <c r="C72" s="74"/>
      <c r="D72" s="74"/>
      <c r="E72" s="74"/>
      <c r="F72" s="74"/>
      <c r="G72" s="74"/>
      <c r="H72" s="74"/>
      <c r="I72" s="74"/>
      <c r="J72" s="74"/>
      <c r="K72" s="74"/>
      <c r="L72" s="74"/>
      <c r="M72" s="74"/>
      <c r="N72" s="75"/>
    </row>
    <row r="73" spans="2:14" hidden="1" x14ac:dyDescent="0.3">
      <c r="B73" s="73"/>
      <c r="C73" s="74"/>
      <c r="D73" s="74"/>
      <c r="E73" s="74"/>
      <c r="F73" s="74"/>
      <c r="G73" s="74"/>
      <c r="H73" s="74"/>
      <c r="I73" s="74"/>
      <c r="J73" s="74"/>
      <c r="K73" s="74"/>
      <c r="L73" s="74"/>
      <c r="M73" s="74"/>
      <c r="N73" s="75"/>
    </row>
    <row r="74" spans="2:14" ht="23.4" customHeight="1" x14ac:dyDescent="0.3">
      <c r="B74" s="76"/>
      <c r="C74" s="77"/>
      <c r="D74" s="77"/>
      <c r="E74" s="77"/>
      <c r="F74" s="77"/>
      <c r="G74" s="77"/>
      <c r="H74" s="77"/>
      <c r="I74" s="77"/>
      <c r="J74" s="77"/>
      <c r="K74" s="77"/>
      <c r="L74" s="77"/>
      <c r="M74" s="77"/>
      <c r="N74" s="78"/>
    </row>
    <row r="75" spans="2:14" ht="33.6" customHeight="1" x14ac:dyDescent="0.3"/>
    <row r="76" spans="2:14" ht="82.2" customHeight="1" x14ac:dyDescent="0.3"/>
    <row r="77" spans="2:14" ht="136.19999999999999" customHeight="1" x14ac:dyDescent="0.3"/>
  </sheetData>
  <mergeCells count="6">
    <mergeCell ref="B1:N1"/>
    <mergeCell ref="B2:N2"/>
    <mergeCell ref="B3:N7"/>
    <mergeCell ref="B8:N13"/>
    <mergeCell ref="B14:N40"/>
    <mergeCell ref="B41:N7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3"/>
  <sheetViews>
    <sheetView showGridLines="0" zoomScale="99" zoomScaleNormal="100" workbookViewId="0">
      <selection activeCell="N14" sqref="N14"/>
    </sheetView>
  </sheetViews>
  <sheetFormatPr defaultColWidth="8.6640625" defaultRowHeight="14.4" x14ac:dyDescent="0.3"/>
  <cols>
    <col min="1" max="1" width="3" customWidth="1"/>
    <col min="2" max="2" width="36" customWidth="1"/>
    <col min="3" max="8" width="16" customWidth="1"/>
    <col min="9" max="9" width="3" customWidth="1"/>
  </cols>
  <sheetData>
    <row r="1" spans="2:8" ht="21.75" customHeight="1" x14ac:dyDescent="0.3">
      <c r="B1" s="23" t="s">
        <v>20</v>
      </c>
      <c r="C1" s="23"/>
      <c r="D1" s="23"/>
      <c r="E1" s="23"/>
      <c r="F1" s="23"/>
      <c r="G1" s="23"/>
      <c r="H1" s="23"/>
    </row>
    <row r="2" spans="2:8" ht="4.8" customHeight="1" x14ac:dyDescent="0.3"/>
    <row r="3" spans="2:8" x14ac:dyDescent="0.3">
      <c r="B3" s="16"/>
      <c r="C3" s="16" t="s">
        <v>21</v>
      </c>
      <c r="D3" s="16" t="s">
        <v>22</v>
      </c>
      <c r="E3" s="16" t="s">
        <v>23</v>
      </c>
      <c r="F3" s="16" t="s">
        <v>24</v>
      </c>
      <c r="G3" s="16" t="s">
        <v>25</v>
      </c>
      <c r="H3" s="16" t="s">
        <v>26</v>
      </c>
    </row>
    <row r="4" spans="2:8" x14ac:dyDescent="0.3">
      <c r="B4" s="2" t="s">
        <v>27</v>
      </c>
      <c r="F4" s="24" t="s">
        <v>28</v>
      </c>
      <c r="G4" s="24"/>
      <c r="H4" s="24"/>
    </row>
    <row r="5" spans="2:8" ht="18" customHeight="1" x14ac:dyDescent="0.3">
      <c r="B5" s="23" t="s">
        <v>29</v>
      </c>
      <c r="C5" s="23"/>
      <c r="D5" s="23"/>
      <c r="E5" s="23"/>
      <c r="F5" s="23"/>
      <c r="G5" s="23"/>
      <c r="H5" s="23"/>
    </row>
    <row r="6" spans="2:8" ht="15.75" customHeight="1" x14ac:dyDescent="0.3">
      <c r="B6" s="3" t="s">
        <v>30</v>
      </c>
      <c r="C6" s="4" t="s">
        <v>31</v>
      </c>
      <c r="D6" s="5">
        <v>0.1</v>
      </c>
      <c r="E6" s="5">
        <v>0.1</v>
      </c>
      <c r="F6" s="41">
        <f t="shared" ref="F6:H7" si="0">AVERAGE(D6:E6)</f>
        <v>0.1</v>
      </c>
      <c r="G6" s="41">
        <f t="shared" si="0"/>
        <v>0.1</v>
      </c>
      <c r="H6" s="41">
        <f t="shared" si="0"/>
        <v>0.1</v>
      </c>
    </row>
    <row r="7" spans="2:8" ht="15.75" customHeight="1" x14ac:dyDescent="0.3">
      <c r="B7" s="3" t="s">
        <v>32</v>
      </c>
      <c r="C7" s="5">
        <v>0.6</v>
      </c>
      <c r="D7" s="5">
        <v>0.6</v>
      </c>
      <c r="E7" s="5">
        <v>0.6</v>
      </c>
      <c r="F7" s="41">
        <f t="shared" si="0"/>
        <v>0.6</v>
      </c>
      <c r="G7" s="41">
        <f t="shared" si="0"/>
        <v>0.6</v>
      </c>
      <c r="H7" s="41">
        <f t="shared" si="0"/>
        <v>0.6</v>
      </c>
    </row>
    <row r="8" spans="2:8" ht="15.75" customHeight="1" x14ac:dyDescent="0.3">
      <c r="B8" s="3" t="s">
        <v>33</v>
      </c>
      <c r="C8" s="5">
        <v>0.15</v>
      </c>
      <c r="D8" s="5">
        <v>0.15</v>
      </c>
      <c r="E8" s="5">
        <v>0.14000000000000001</v>
      </c>
      <c r="F8" s="41">
        <f>E8 - 0.2%</f>
        <v>0.13800000000000001</v>
      </c>
      <c r="G8" s="41">
        <f>F8 - 0.2%</f>
        <v>0.13600000000000001</v>
      </c>
      <c r="H8" s="41">
        <f>G8 - 0.2%</f>
        <v>0.13400000000000001</v>
      </c>
    </row>
    <row r="9" spans="2:8" ht="15.75" customHeight="1" x14ac:dyDescent="0.3">
      <c r="B9" s="3" t="s">
        <v>34</v>
      </c>
      <c r="C9" s="6">
        <v>28</v>
      </c>
      <c r="D9" s="6">
        <v>30</v>
      </c>
      <c r="E9" s="6">
        <v>33</v>
      </c>
      <c r="F9" s="38">
        <f>E9+(((D9-C9)+(E9-D9))/2)</f>
        <v>35.5</v>
      </c>
      <c r="G9" s="38">
        <f t="shared" ref="G9:H9" si="1">F9+(((E9-D9)+(F9-E9))/2)</f>
        <v>38.25</v>
      </c>
      <c r="H9" s="38">
        <f t="shared" si="1"/>
        <v>40.875</v>
      </c>
    </row>
    <row r="10" spans="2:8" ht="15.75" customHeight="1" x14ac:dyDescent="0.3">
      <c r="B10" s="3" t="s">
        <v>35</v>
      </c>
      <c r="C10" s="6">
        <v>8</v>
      </c>
      <c r="D10" s="6">
        <v>8</v>
      </c>
      <c r="E10" s="6">
        <v>7</v>
      </c>
      <c r="F10" s="38">
        <v>6.05</v>
      </c>
      <c r="G10" s="38">
        <v>5.33</v>
      </c>
      <c r="H10" s="38">
        <v>4.67</v>
      </c>
    </row>
    <row r="11" spans="2:8" ht="15.75" customHeight="1" x14ac:dyDescent="0.3">
      <c r="B11" s="3" t="s">
        <v>36</v>
      </c>
      <c r="C11" s="5">
        <v>0.25</v>
      </c>
      <c r="D11" s="5">
        <v>0.25</v>
      </c>
      <c r="E11" s="5">
        <v>0.25</v>
      </c>
      <c r="F11" s="41">
        <v>0.25</v>
      </c>
      <c r="G11" s="41">
        <v>0.25</v>
      </c>
      <c r="H11" s="41">
        <v>0.25</v>
      </c>
    </row>
    <row r="13" spans="2:8" ht="18" customHeight="1" x14ac:dyDescent="0.3">
      <c r="B13" s="23" t="s">
        <v>37</v>
      </c>
      <c r="C13" s="23"/>
      <c r="D13" s="23"/>
      <c r="E13" s="23"/>
      <c r="F13" s="23"/>
      <c r="G13" s="23"/>
      <c r="H13" s="23"/>
    </row>
    <row r="14" spans="2:8" ht="15.75" customHeight="1" x14ac:dyDescent="0.3">
      <c r="B14" s="3" t="s">
        <v>38</v>
      </c>
      <c r="C14" s="6">
        <v>38</v>
      </c>
      <c r="D14" s="6">
        <v>40</v>
      </c>
      <c r="E14" s="6">
        <v>43</v>
      </c>
      <c r="F14" s="38">
        <f>E14+(((D14-C14)+(E14-D14))/2)</f>
        <v>45.5</v>
      </c>
      <c r="G14" s="38">
        <f t="shared" ref="G14:H14" si="2">F14+(((E14-D14)+(F14-E14))/2)</f>
        <v>48.25</v>
      </c>
      <c r="H14" s="38">
        <f t="shared" si="2"/>
        <v>50.875</v>
      </c>
    </row>
    <row r="15" spans="2:8" ht="15.75" customHeight="1" x14ac:dyDescent="0.3">
      <c r="B15" s="3" t="s">
        <v>39</v>
      </c>
      <c r="C15" s="6">
        <v>0</v>
      </c>
      <c r="D15" s="6">
        <v>10</v>
      </c>
      <c r="E15" s="6">
        <v>10</v>
      </c>
      <c r="F15" s="37">
        <v>10</v>
      </c>
      <c r="G15" s="37">
        <v>10</v>
      </c>
      <c r="H15" s="37">
        <v>10</v>
      </c>
    </row>
    <row r="17" spans="2:8" ht="18" customHeight="1" x14ac:dyDescent="0.3">
      <c r="B17" s="23" t="s">
        <v>40</v>
      </c>
      <c r="C17" s="23"/>
      <c r="D17" s="23"/>
      <c r="E17" s="23"/>
      <c r="F17" s="23"/>
      <c r="G17" s="23"/>
      <c r="H17" s="23"/>
    </row>
    <row r="18" spans="2:8" ht="15.75" customHeight="1" x14ac:dyDescent="0.3">
      <c r="B18" s="3" t="s">
        <v>41</v>
      </c>
      <c r="C18" s="41">
        <v>0.1</v>
      </c>
    </row>
    <row r="19" spans="2:8" ht="15.75" customHeight="1" x14ac:dyDescent="0.3">
      <c r="B19" s="3" t="s">
        <v>42</v>
      </c>
      <c r="C19" s="41">
        <v>3.5000000000000003E-2</v>
      </c>
    </row>
    <row r="20" spans="2:8" ht="15.75" customHeight="1" x14ac:dyDescent="0.3">
      <c r="B20" s="3" t="s">
        <v>43</v>
      </c>
      <c r="C20" s="37">
        <v>100</v>
      </c>
    </row>
    <row r="21" spans="2:8" ht="15.75" customHeight="1" x14ac:dyDescent="0.3">
      <c r="B21" s="3" t="s">
        <v>44</v>
      </c>
      <c r="C21" s="37">
        <f>('Balance Sheet'!E12 - 'Balance Sheet'!E5)</f>
        <v>-41.13615999999999</v>
      </c>
    </row>
    <row r="23" spans="2:8" x14ac:dyDescent="0.3">
      <c r="B23" s="22" t="s">
        <v>45</v>
      </c>
      <c r="C23" s="22"/>
      <c r="D23" s="22"/>
      <c r="E23" s="22"/>
      <c r="F23" s="22"/>
      <c r="G23" s="22"/>
      <c r="H23" s="22"/>
    </row>
  </sheetData>
  <mergeCells count="6">
    <mergeCell ref="B23:H23"/>
    <mergeCell ref="B1:H1"/>
    <mergeCell ref="B5:H5"/>
    <mergeCell ref="B13:H13"/>
    <mergeCell ref="B17:H17"/>
    <mergeCell ref="F4:H4"/>
  </mergeCells>
  <pageMargins left="0.75" right="0.75" top="1" bottom="1" header="0.511811023622047" footer="0.511811023622047"/>
  <pageSetup paperSize="9" orientation="portrait" horizontalDpi="300" verticalDpi="300"/>
  <ignoredErrors>
    <ignoredError sqref="C3:H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6"/>
  <sheetViews>
    <sheetView showGridLines="0" zoomScaleNormal="100" workbookViewId="0">
      <selection activeCell="H13" sqref="H13"/>
    </sheetView>
  </sheetViews>
  <sheetFormatPr defaultColWidth="8.6640625" defaultRowHeight="14.4" x14ac:dyDescent="0.3"/>
  <cols>
    <col min="1" max="1" width="3" customWidth="1"/>
    <col min="2" max="2" width="36" customWidth="1"/>
    <col min="3" max="8" width="14" customWidth="1"/>
    <col min="9" max="9" width="3" customWidth="1"/>
  </cols>
  <sheetData>
    <row r="1" spans="2:9" ht="21.75" customHeight="1" x14ac:dyDescent="0.3">
      <c r="B1" s="23" t="s">
        <v>61</v>
      </c>
      <c r="C1" s="23"/>
      <c r="D1" s="23"/>
      <c r="E1" s="23"/>
      <c r="F1" s="23"/>
      <c r="G1" s="23"/>
      <c r="H1" s="23"/>
    </row>
    <row r="2" spans="2:9" s="19" customFormat="1" ht="4.8" customHeight="1" x14ac:dyDescent="0.3">
      <c r="B2" s="20"/>
      <c r="C2" s="20"/>
      <c r="D2" s="20"/>
      <c r="E2" s="20"/>
      <c r="F2" s="20"/>
      <c r="G2" s="20"/>
      <c r="H2" s="20"/>
    </row>
    <row r="3" spans="2:9" x14ac:dyDescent="0.3">
      <c r="B3" s="16"/>
      <c r="C3" s="16" t="s">
        <v>21</v>
      </c>
      <c r="D3" s="16" t="s">
        <v>22</v>
      </c>
      <c r="E3" s="16" t="s">
        <v>23</v>
      </c>
      <c r="F3" s="17" t="s">
        <v>24</v>
      </c>
      <c r="G3" s="17" t="s">
        <v>25</v>
      </c>
      <c r="H3" s="17" t="s">
        <v>26</v>
      </c>
    </row>
    <row r="4" spans="2:9" ht="18" customHeight="1" x14ac:dyDescent="0.3">
      <c r="B4" s="33" t="s">
        <v>62</v>
      </c>
      <c r="C4" s="34"/>
      <c r="D4" s="34"/>
      <c r="E4" s="34"/>
      <c r="F4" s="34"/>
      <c r="G4" s="34"/>
      <c r="H4" s="35"/>
    </row>
    <row r="5" spans="2:9" ht="15.75" customHeight="1" x14ac:dyDescent="0.3">
      <c r="B5" s="3" t="s">
        <v>63</v>
      </c>
      <c r="C5" s="7">
        <v>45</v>
      </c>
      <c r="D5" s="44">
        <f>C5+'Cash Flow'!D15</f>
        <v>87.1096</v>
      </c>
      <c r="E5" s="13">
        <f>D5+'Cash Flow'!E15</f>
        <v>141.13615999999999</v>
      </c>
      <c r="F5" s="13">
        <f>E5+'Cash Flow'!F15</f>
        <v>205.36119600000001</v>
      </c>
      <c r="G5" s="13">
        <f>F5+'Cash Flow'!G15</f>
        <v>280.65663760000001</v>
      </c>
      <c r="H5" s="13">
        <f>G5+'Cash Flow'!H15</f>
        <v>368.43594056000001</v>
      </c>
    </row>
    <row r="6" spans="2:9" ht="15.75" customHeight="1" x14ac:dyDescent="0.3">
      <c r="B6" s="3" t="s">
        <v>64</v>
      </c>
      <c r="C6" s="12">
        <f xml:space="preserve"> 12.5% *'Income Statement'!C4</f>
        <v>60</v>
      </c>
      <c r="D6" s="42">
        <f xml:space="preserve"> 12.5% *'Income Statement'!D4</f>
        <v>66</v>
      </c>
      <c r="E6" s="12">
        <f xml:space="preserve"> 12.5% *'Income Statement'!E4</f>
        <v>72.599999999999994</v>
      </c>
      <c r="F6" s="12">
        <f xml:space="preserve"> 12.5% *'Income Statement'!F4</f>
        <v>79.86</v>
      </c>
      <c r="G6" s="42">
        <f xml:space="preserve"> 12.5% *'Income Statement'!G4</f>
        <v>87.846000000000004</v>
      </c>
      <c r="H6" s="42">
        <f xml:space="preserve"> 12.5% *'Income Statement'!H4</f>
        <v>96.630600000000015</v>
      </c>
    </row>
    <row r="7" spans="2:9" ht="15.75" customHeight="1" x14ac:dyDescent="0.3">
      <c r="B7" s="3" t="s">
        <v>65</v>
      </c>
      <c r="C7" s="42">
        <f>25% *(-('Income Statement'!C5))</f>
        <v>72</v>
      </c>
      <c r="D7" s="42">
        <f>25% *(-('Income Statement'!D5))</f>
        <v>79.2</v>
      </c>
      <c r="E7" s="42">
        <f>25% *(-('Income Statement'!E5))</f>
        <v>87.12</v>
      </c>
      <c r="F7" s="42">
        <f>25% *(-('Income Statement'!F5))</f>
        <v>95.831999999999994</v>
      </c>
      <c r="G7" s="42">
        <f>25% *(-('Income Statement'!G5))</f>
        <v>105.4152</v>
      </c>
      <c r="H7" s="40">
        <f>25% *(-('Income Statement'!H5))</f>
        <v>115.95672000000002</v>
      </c>
    </row>
    <row r="8" spans="2:9" ht="15.75" customHeight="1" x14ac:dyDescent="0.3">
      <c r="B8" s="3" t="s">
        <v>66</v>
      </c>
      <c r="C8" s="7">
        <v>240</v>
      </c>
      <c r="D8" s="50">
        <f>(C8 +Assumptions!D14)-Assumptions!D9</f>
        <v>250</v>
      </c>
      <c r="E8" s="46">
        <f>(D8 +Assumptions!E14)-Assumptions!E9</f>
        <v>260</v>
      </c>
      <c r="F8" s="46">
        <f>(E8 +Assumptions!F14)-Assumptions!F9</f>
        <v>270</v>
      </c>
      <c r="G8" s="46">
        <f>(F8 +Assumptions!G14)-Assumptions!G9</f>
        <v>280</v>
      </c>
      <c r="H8" s="46">
        <f>(G8 +Assumptions!H14)-Assumptions!H9</f>
        <v>290</v>
      </c>
    </row>
    <row r="9" spans="2:9" ht="15.75" customHeight="1" thickBot="1" x14ac:dyDescent="0.35">
      <c r="B9" s="8" t="s">
        <v>67</v>
      </c>
      <c r="C9" s="46">
        <f t="shared" ref="C9:E9" si="0">SUM(C5:C8)</f>
        <v>417</v>
      </c>
      <c r="D9" s="46">
        <f>SUM(D5:D8)</f>
        <v>482.30959999999999</v>
      </c>
      <c r="E9" s="46">
        <f t="shared" si="0"/>
        <v>560.85616000000005</v>
      </c>
      <c r="F9" s="46">
        <f>SUM(F5:F8)</f>
        <v>651.05319600000007</v>
      </c>
      <c r="G9" s="46">
        <f t="shared" ref="G9:H9" si="1">SUM(G5:G8)</f>
        <v>753.91783759999998</v>
      </c>
      <c r="H9" s="46">
        <f t="shared" si="1"/>
        <v>871.02326056000004</v>
      </c>
    </row>
    <row r="10" spans="2:9" ht="18" customHeight="1" x14ac:dyDescent="0.3">
      <c r="B10" s="23" t="s">
        <v>68</v>
      </c>
      <c r="C10" s="23"/>
      <c r="D10" s="23"/>
      <c r="E10" s="23"/>
      <c r="F10" s="23"/>
      <c r="G10" s="23"/>
      <c r="H10" s="23"/>
    </row>
    <row r="11" spans="2:9" ht="15.75" customHeight="1" x14ac:dyDescent="0.3">
      <c r="B11" s="3" t="s">
        <v>69</v>
      </c>
      <c r="C11" s="42">
        <f>16.7%*(-('Income Statement'!C5))</f>
        <v>48.095999999999997</v>
      </c>
      <c r="D11" s="42">
        <f>16.7%*(-('Income Statement'!D5))</f>
        <v>52.905599999999993</v>
      </c>
      <c r="E11" s="42">
        <f>16.7%*(-('Income Statement'!E5))</f>
        <v>58.196159999999999</v>
      </c>
      <c r="F11" s="42">
        <f>16.7%*(-('Income Statement'!F5))</f>
        <v>64.015775999999988</v>
      </c>
      <c r="G11" s="42">
        <f>16.7%*(-('Income Statement'!G5))</f>
        <v>70.417353599999998</v>
      </c>
      <c r="H11" s="42">
        <f>16.7%*(-('Income Statement'!H5))</f>
        <v>77.459088960000003</v>
      </c>
    </row>
    <row r="12" spans="2:9" ht="15.75" customHeight="1" x14ac:dyDescent="0.3">
      <c r="B12" s="3" t="s">
        <v>70</v>
      </c>
      <c r="C12" s="7">
        <v>120</v>
      </c>
      <c r="D12" s="7">
        <v>110</v>
      </c>
      <c r="E12" s="7">
        <v>100</v>
      </c>
      <c r="F12" s="46">
        <f>E12 +'Cash Flow'!F13</f>
        <v>90</v>
      </c>
      <c r="G12" s="46">
        <f>F12 +'Cash Flow'!G13</f>
        <v>80</v>
      </c>
      <c r="H12" s="46">
        <f>G12 +'Cash Flow'!H13</f>
        <v>70</v>
      </c>
    </row>
    <row r="13" spans="2:9" ht="15.75" customHeight="1" x14ac:dyDescent="0.3">
      <c r="B13" s="3" t="s">
        <v>71</v>
      </c>
      <c r="C13" s="13">
        <v>249</v>
      </c>
      <c r="D13" s="44">
        <f>C13+'Income Statement'!D14</f>
        <v>319.5</v>
      </c>
      <c r="E13" s="44">
        <f>D13+'Income Statement'!E14</f>
        <v>402.75599999999997</v>
      </c>
      <c r="F13" s="44">
        <f>E13+'Income Statement'!F14</f>
        <v>497.13342</v>
      </c>
      <c r="G13" s="44">
        <f>F13+'Income Statement'!G14</f>
        <v>603.59648400000003</v>
      </c>
      <c r="H13" s="44">
        <f>G13+'Income Statement'!H14</f>
        <v>723.66017160000001</v>
      </c>
    </row>
    <row r="14" spans="2:9" ht="15.75" customHeight="1" thickBot="1" x14ac:dyDescent="0.35">
      <c r="B14" s="8" t="s">
        <v>72</v>
      </c>
      <c r="C14" s="14">
        <f>SUM(C11:C13)</f>
        <v>417.096</v>
      </c>
      <c r="D14" s="14">
        <f t="shared" ref="D14:E14" si="2">SUM(D11:D13)</f>
        <v>482.40559999999999</v>
      </c>
      <c r="E14" s="14">
        <f t="shared" si="2"/>
        <v>560.95215999999994</v>
      </c>
      <c r="F14" s="14">
        <f>SUM(F11:F13)</f>
        <v>651.14919599999996</v>
      </c>
      <c r="G14" s="14">
        <f t="shared" ref="G14" si="3">SUM(G11:G13)</f>
        <v>754.01383759999999</v>
      </c>
      <c r="H14" s="14">
        <f t="shared" ref="H14" si="4">SUM(H11:H13)</f>
        <v>871.11926056000004</v>
      </c>
    </row>
    <row r="15" spans="2:9" x14ac:dyDescent="0.3">
      <c r="B15" s="22"/>
      <c r="C15" s="22"/>
      <c r="D15" s="22"/>
      <c r="E15" s="22"/>
      <c r="F15" s="22"/>
      <c r="G15" s="22"/>
      <c r="H15" s="22"/>
    </row>
    <row r="16" spans="2:9" x14ac:dyDescent="0.3">
      <c r="B16" s="51" t="s">
        <v>107</v>
      </c>
      <c r="C16" s="52">
        <f>C14-C9</f>
        <v>9.6000000000003638E-2</v>
      </c>
      <c r="D16" s="53">
        <f t="shared" ref="D16:I16" si="5">D14-D9</f>
        <v>9.6000000000003638E-2</v>
      </c>
      <c r="E16" s="53">
        <f t="shared" si="5"/>
        <v>9.5999999999889951E-2</v>
      </c>
      <c r="F16" s="53">
        <f t="shared" si="5"/>
        <v>9.5999999999889951E-2</v>
      </c>
      <c r="G16" s="53">
        <f t="shared" si="5"/>
        <v>9.6000000000003638E-2</v>
      </c>
      <c r="H16" s="53">
        <f t="shared" si="5"/>
        <v>9.6000000000003638E-2</v>
      </c>
      <c r="I16" s="52"/>
    </row>
  </sheetData>
  <mergeCells count="4">
    <mergeCell ref="B1:H1"/>
    <mergeCell ref="B4:H4"/>
    <mergeCell ref="B10:H10"/>
    <mergeCell ref="B15:H15"/>
  </mergeCells>
  <pageMargins left="0.75" right="0.75" top="1" bottom="1" header="0.511811023622047" footer="0.511811023622047"/>
  <pageSetup paperSize="9" orientation="portrait" horizontalDpi="300" verticalDpi="300"/>
  <ignoredErrors>
    <ignoredError sqref="C3:H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8"/>
  <sheetViews>
    <sheetView showGridLines="0" zoomScaleNormal="100" workbookViewId="0">
      <selection activeCell="F6" sqref="F6"/>
    </sheetView>
  </sheetViews>
  <sheetFormatPr defaultColWidth="8.6640625" defaultRowHeight="14.4" x14ac:dyDescent="0.3"/>
  <cols>
    <col min="1" max="1" width="3" customWidth="1"/>
    <col min="2" max="2" width="36" customWidth="1"/>
    <col min="3" max="8" width="14" customWidth="1"/>
    <col min="9" max="9" width="3" customWidth="1"/>
  </cols>
  <sheetData>
    <row r="1" spans="2:8" ht="21.75" customHeight="1" x14ac:dyDescent="0.3">
      <c r="B1" s="23" t="s">
        <v>46</v>
      </c>
      <c r="C1" s="23"/>
      <c r="D1" s="23"/>
      <c r="E1" s="23"/>
      <c r="F1" s="23"/>
      <c r="G1" s="23"/>
      <c r="H1" s="23"/>
    </row>
    <row r="2" spans="2:8" s="19" customFormat="1" ht="4.8" customHeight="1" x14ac:dyDescent="0.3">
      <c r="B2" s="20"/>
      <c r="C2" s="20"/>
      <c r="D2" s="20"/>
      <c r="E2" s="20"/>
      <c r="F2" s="20"/>
      <c r="G2" s="20"/>
      <c r="H2" s="20"/>
    </row>
    <row r="3" spans="2:8" x14ac:dyDescent="0.3">
      <c r="B3" s="16"/>
      <c r="C3" s="16" t="s">
        <v>21</v>
      </c>
      <c r="D3" s="16" t="s">
        <v>22</v>
      </c>
      <c r="E3" s="16" t="s">
        <v>23</v>
      </c>
      <c r="F3" s="17" t="s">
        <v>24</v>
      </c>
      <c r="G3" s="17" t="s">
        <v>25</v>
      </c>
      <c r="H3" s="17" t="s">
        <v>26</v>
      </c>
    </row>
    <row r="4" spans="2:8" ht="15.75" customHeight="1" x14ac:dyDescent="0.3">
      <c r="B4" s="3" t="s">
        <v>47</v>
      </c>
      <c r="C4" s="6">
        <v>480</v>
      </c>
      <c r="D4" s="6">
        <v>528</v>
      </c>
      <c r="E4" s="6">
        <v>580.79999999999995</v>
      </c>
      <c r="F4" s="21">
        <f>(E4*(1+Assumptions!F6))</f>
        <v>638.88</v>
      </c>
      <c r="G4" s="21">
        <f>(F4*(1+Assumptions!G6))</f>
        <v>702.76800000000003</v>
      </c>
      <c r="H4" s="21">
        <f>(G4*(1+Assumptions!G6))</f>
        <v>773.04480000000012</v>
      </c>
    </row>
    <row r="5" spans="2:8" ht="15.75" customHeight="1" x14ac:dyDescent="0.3">
      <c r="B5" s="3" t="s">
        <v>48</v>
      </c>
      <c r="C5" s="7">
        <v>-288</v>
      </c>
      <c r="D5" s="7">
        <v>-316.8</v>
      </c>
      <c r="E5" s="7">
        <v>-348.48</v>
      </c>
      <c r="F5" s="13">
        <f>-(F4*Assumptions!F7)</f>
        <v>-383.32799999999997</v>
      </c>
      <c r="G5" s="13">
        <f>-(G4*Assumptions!G7)</f>
        <v>-421.66079999999999</v>
      </c>
      <c r="H5" s="13">
        <f>-(H4*Assumptions!H7)</f>
        <v>-463.82688000000007</v>
      </c>
    </row>
    <row r="6" spans="2:8" ht="15.75" customHeight="1" thickBot="1" x14ac:dyDescent="0.35">
      <c r="B6" s="8" t="s">
        <v>49</v>
      </c>
      <c r="C6" s="9">
        <v>192</v>
      </c>
      <c r="D6" s="9">
        <v>211.2</v>
      </c>
      <c r="E6" s="9">
        <v>232.32</v>
      </c>
      <c r="F6" s="14">
        <f>F4 + F5</f>
        <v>255.55200000000002</v>
      </c>
      <c r="G6" s="14">
        <f>G4 + G5</f>
        <v>281.10720000000003</v>
      </c>
      <c r="H6" s="14">
        <f>H4 + H5</f>
        <v>309.21792000000005</v>
      </c>
    </row>
    <row r="7" spans="2:8" ht="15.75" customHeight="1" x14ac:dyDescent="0.3">
      <c r="B7" s="3" t="s">
        <v>50</v>
      </c>
      <c r="C7" s="7">
        <v>-72</v>
      </c>
      <c r="D7" s="7">
        <v>-79.2</v>
      </c>
      <c r="E7" s="7">
        <v>-81.311999999999998</v>
      </c>
      <c r="F7" s="13">
        <f>-F4 * Assumptions!F8</f>
        <v>-88.165440000000004</v>
      </c>
      <c r="G7" s="13">
        <f>-G4 * Assumptions!G8</f>
        <v>-95.576448000000013</v>
      </c>
      <c r="H7" s="13">
        <f>-H4 * Assumptions!H8</f>
        <v>-103.58800320000002</v>
      </c>
    </row>
    <row r="8" spans="2:8" ht="15.75" customHeight="1" thickBot="1" x14ac:dyDescent="0.35">
      <c r="B8" s="8" t="s">
        <v>51</v>
      </c>
      <c r="C8" s="9">
        <v>120</v>
      </c>
      <c r="D8" s="9">
        <v>132</v>
      </c>
      <c r="E8" s="9">
        <v>151.00800000000001</v>
      </c>
      <c r="F8" s="14">
        <f>F6+F7</f>
        <v>167.38656000000003</v>
      </c>
      <c r="G8" s="14">
        <f t="shared" ref="G8:H8" si="0">G6+G7</f>
        <v>185.53075200000001</v>
      </c>
      <c r="H8" s="14">
        <f t="shared" si="0"/>
        <v>205.62991680000005</v>
      </c>
    </row>
    <row r="9" spans="2:8" ht="15.75" customHeight="1" x14ac:dyDescent="0.3">
      <c r="B9" s="3" t="s">
        <v>52</v>
      </c>
      <c r="C9" s="6">
        <v>-28</v>
      </c>
      <c r="D9" s="6">
        <v>-30</v>
      </c>
      <c r="E9" s="6">
        <v>-33</v>
      </c>
      <c r="F9" s="37">
        <f>E9+(((D9-C9)+(E9-D9))/2)</f>
        <v>-35.5</v>
      </c>
      <c r="G9" s="37">
        <f t="shared" ref="G9:H9" si="1">F9+(((E9-D9)+(F9-E9))/2)</f>
        <v>-38.25</v>
      </c>
      <c r="H9" s="37">
        <f t="shared" si="1"/>
        <v>-40.875</v>
      </c>
    </row>
    <row r="10" spans="2:8" ht="15.75" customHeight="1" thickBot="1" x14ac:dyDescent="0.35">
      <c r="B10" s="8" t="s">
        <v>53</v>
      </c>
      <c r="C10" s="9">
        <v>92</v>
      </c>
      <c r="D10" s="9">
        <v>102</v>
      </c>
      <c r="E10" s="9">
        <v>118.008</v>
      </c>
      <c r="F10" s="14">
        <f>F8-Assumptions!F9</f>
        <v>131.88656000000003</v>
      </c>
      <c r="G10" s="14">
        <f>G8-Assumptions!G9</f>
        <v>147.28075200000001</v>
      </c>
      <c r="H10" s="14">
        <f>H8-Assumptions!H9</f>
        <v>164.75491680000005</v>
      </c>
    </row>
    <row r="11" spans="2:8" ht="15.75" customHeight="1" x14ac:dyDescent="0.3">
      <c r="B11" s="3" t="s">
        <v>54</v>
      </c>
      <c r="C11" s="6">
        <v>-8</v>
      </c>
      <c r="D11" s="6">
        <v>-8</v>
      </c>
      <c r="E11" s="6">
        <v>-7</v>
      </c>
      <c r="F11" s="38">
        <v>-6.05</v>
      </c>
      <c r="G11" s="38">
        <v>-5.33</v>
      </c>
      <c r="H11" s="38">
        <v>-4.67</v>
      </c>
    </row>
    <row r="12" spans="2:8" ht="15.75" customHeight="1" thickBot="1" x14ac:dyDescent="0.35">
      <c r="B12" s="8" t="s">
        <v>55</v>
      </c>
      <c r="C12" s="9">
        <v>84</v>
      </c>
      <c r="D12" s="9">
        <v>94</v>
      </c>
      <c r="E12" s="9">
        <v>111.008</v>
      </c>
      <c r="F12" s="39">
        <f>F10+F11</f>
        <v>125.83656000000003</v>
      </c>
      <c r="G12" s="39">
        <f t="shared" ref="G12:H12" si="2">G10+G11</f>
        <v>141.95075199999999</v>
      </c>
      <c r="H12" s="39">
        <f t="shared" si="2"/>
        <v>160.08491680000006</v>
      </c>
    </row>
    <row r="13" spans="2:8" ht="15.75" customHeight="1" x14ac:dyDescent="0.3">
      <c r="B13" s="3" t="s">
        <v>56</v>
      </c>
      <c r="C13" s="7">
        <v>-21</v>
      </c>
      <c r="D13" s="7">
        <v>-23.5</v>
      </c>
      <c r="E13" s="7">
        <v>-27.751999999999999</v>
      </c>
      <c r="F13" s="13">
        <f>(-(F12*Assumptions!F11))</f>
        <v>-31.459140000000009</v>
      </c>
      <c r="G13" s="13">
        <f>(-(G12*Assumptions!G11))</f>
        <v>-35.487687999999999</v>
      </c>
      <c r="H13" s="13">
        <f>(-(H12*Assumptions!H11))</f>
        <v>-40.021229200000015</v>
      </c>
    </row>
    <row r="14" spans="2:8" ht="15.75" customHeight="1" thickBot="1" x14ac:dyDescent="0.35">
      <c r="B14" s="8" t="s">
        <v>57</v>
      </c>
      <c r="C14" s="9">
        <v>63</v>
      </c>
      <c r="D14" s="9">
        <v>70.5</v>
      </c>
      <c r="E14" s="9">
        <v>83.256</v>
      </c>
      <c r="F14" s="14">
        <f>F12+F13</f>
        <v>94.377420000000029</v>
      </c>
      <c r="G14" s="14">
        <f t="shared" ref="G14:H14" si="3">G12+G13</f>
        <v>106.463064</v>
      </c>
      <c r="H14" s="14">
        <f t="shared" si="3"/>
        <v>120.06368760000004</v>
      </c>
    </row>
    <row r="15" spans="2:8" ht="18" customHeight="1" x14ac:dyDescent="0.3">
      <c r="B15" s="23" t="s">
        <v>58</v>
      </c>
      <c r="C15" s="23"/>
      <c r="D15" s="23"/>
      <c r="E15" s="23"/>
      <c r="F15" s="23"/>
      <c r="G15" s="23"/>
      <c r="H15" s="23"/>
    </row>
    <row r="16" spans="2:8" ht="15.75" customHeight="1" x14ac:dyDescent="0.3">
      <c r="B16" s="3" t="s">
        <v>59</v>
      </c>
      <c r="C16" s="10">
        <v>0.25</v>
      </c>
      <c r="D16" s="10">
        <v>0.25</v>
      </c>
      <c r="E16" s="10">
        <v>0.26</v>
      </c>
      <c r="F16" s="12">
        <f>(F8/F4)*100</f>
        <v>26.200000000000006</v>
      </c>
      <c r="G16" s="12">
        <f>(G8/G4)*100</f>
        <v>26.400000000000002</v>
      </c>
      <c r="H16" s="12">
        <f t="shared" ref="G16:H16" si="4">(H8/H4)*100</f>
        <v>26.6</v>
      </c>
    </row>
    <row r="17" spans="2:8" ht="15.75" customHeight="1" x14ac:dyDescent="0.3">
      <c r="B17" s="3" t="s">
        <v>60</v>
      </c>
      <c r="C17" s="10">
        <v>0.13125000000000001</v>
      </c>
      <c r="D17" s="10">
        <v>0.13352272727272699</v>
      </c>
      <c r="E17" s="10">
        <v>0.14334710743801701</v>
      </c>
      <c r="F17" s="49">
        <f>(F14/F4)</f>
        <v>0.14772323441021792</v>
      </c>
      <c r="G17" s="49">
        <f>(G14/G4)</f>
        <v>0.15149105252373471</v>
      </c>
      <c r="H17" s="49">
        <f>(H14/H4)</f>
        <v>0.15531271615823561</v>
      </c>
    </row>
    <row r="18" spans="2:8" x14ac:dyDescent="0.3">
      <c r="B18" s="3"/>
      <c r="E18" s="48"/>
    </row>
  </sheetData>
  <mergeCells count="2">
    <mergeCell ref="B1:H1"/>
    <mergeCell ref="B15:H15"/>
  </mergeCells>
  <pageMargins left="0.75" right="0.75" top="1" bottom="1" header="0.511811023622047" footer="0.511811023622047"/>
  <pageSetup paperSize="9" orientation="portrait" horizontalDpi="300" verticalDpi="300"/>
  <ignoredErrors>
    <ignoredError sqref="C3:H3" numberStoredAsText="1"/>
    <ignoredError sqref="F13:H1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5"/>
  <sheetViews>
    <sheetView showGridLines="0" zoomScaleNormal="100" workbookViewId="0">
      <selection activeCell="E26" sqref="E26"/>
    </sheetView>
  </sheetViews>
  <sheetFormatPr defaultColWidth="8.6640625" defaultRowHeight="14.4" x14ac:dyDescent="0.3"/>
  <cols>
    <col min="1" max="1" width="3" customWidth="1"/>
    <col min="2" max="2" width="36" customWidth="1"/>
    <col min="3" max="8" width="14" customWidth="1"/>
    <col min="9" max="9" width="3" customWidth="1"/>
  </cols>
  <sheetData>
    <row r="1" spans="2:8" ht="21.75" customHeight="1" x14ac:dyDescent="0.3">
      <c r="B1" s="23" t="s">
        <v>73</v>
      </c>
      <c r="C1" s="23"/>
      <c r="D1" s="23"/>
      <c r="E1" s="23"/>
      <c r="F1" s="23"/>
      <c r="G1" s="23"/>
      <c r="H1" s="23"/>
    </row>
    <row r="2" spans="2:8" s="19" customFormat="1" ht="4.8" customHeight="1" x14ac:dyDescent="0.3">
      <c r="B2" s="20"/>
      <c r="C2" s="20"/>
      <c r="D2" s="20"/>
      <c r="E2" s="20"/>
      <c r="F2" s="20"/>
      <c r="G2" s="20"/>
      <c r="H2" s="20"/>
    </row>
    <row r="3" spans="2:8" x14ac:dyDescent="0.3">
      <c r="B3" s="16"/>
      <c r="C3" s="16" t="s">
        <v>21</v>
      </c>
      <c r="D3" s="16" t="s">
        <v>22</v>
      </c>
      <c r="E3" s="16" t="s">
        <v>23</v>
      </c>
      <c r="F3" s="17" t="s">
        <v>24</v>
      </c>
      <c r="G3" s="17" t="s">
        <v>25</v>
      </c>
      <c r="H3" s="17" t="s">
        <v>26</v>
      </c>
    </row>
    <row r="4" spans="2:8" ht="18" customHeight="1" x14ac:dyDescent="0.3">
      <c r="B4" s="36" t="s">
        <v>74</v>
      </c>
      <c r="C4" s="36"/>
      <c r="D4" s="36"/>
      <c r="E4" s="36"/>
      <c r="F4" s="36"/>
      <c r="G4" s="36"/>
      <c r="H4" s="36"/>
    </row>
    <row r="5" spans="2:8" ht="15.75" customHeight="1" x14ac:dyDescent="0.3">
      <c r="B5" s="3" t="s">
        <v>57</v>
      </c>
      <c r="C5" s="7">
        <v>63</v>
      </c>
      <c r="D5" s="7">
        <v>70.5</v>
      </c>
      <c r="E5" s="7">
        <v>83.256</v>
      </c>
      <c r="F5" s="42">
        <f>'Income Statement'!F14</f>
        <v>94.377420000000029</v>
      </c>
      <c r="G5" s="42">
        <f>'Income Statement'!G14</f>
        <v>106.463064</v>
      </c>
      <c r="H5" s="42">
        <f>'Income Statement'!H14</f>
        <v>120.06368760000004</v>
      </c>
    </row>
    <row r="6" spans="2:8" ht="15.75" customHeight="1" x14ac:dyDescent="0.3">
      <c r="B6" s="3" t="s">
        <v>75</v>
      </c>
      <c r="C6" s="7">
        <v>28</v>
      </c>
      <c r="D6" s="7">
        <v>30</v>
      </c>
      <c r="E6" s="7">
        <v>33</v>
      </c>
      <c r="F6" s="12">
        <f>E6+(((D6-C6)+(E6-D6))/2)</f>
        <v>35.5</v>
      </c>
      <c r="G6" s="12">
        <f t="shared" ref="G6:H6" si="0">F6+(((E6-D6)+(F6-E6))/2)</f>
        <v>38.25</v>
      </c>
      <c r="H6" s="12">
        <f>(G6+(((F6-E6)+(G6-F6))/2))</f>
        <v>40.875</v>
      </c>
    </row>
    <row r="7" spans="2:8" ht="15.75" customHeight="1" x14ac:dyDescent="0.3">
      <c r="B7" s="3" t="s">
        <v>76</v>
      </c>
      <c r="C7" s="7">
        <v>0</v>
      </c>
      <c r="D7" s="43">
        <f>(('Balance Sheet'!C6+'Balance Sheet'!C7)-'Balance Sheet'!C11) - (('Balance Sheet'!D6+'Balance Sheet'!D7)-'Balance Sheet'!D11)</f>
        <v>-8.3903999999999996</v>
      </c>
      <c r="E7" s="43">
        <f>(('Balance Sheet'!D6+'Balance Sheet'!D7)-'Balance Sheet'!D11) - (('Balance Sheet'!E6+'Balance Sheet'!E7)-'Balance Sheet'!E11)</f>
        <v>-9.229440000000011</v>
      </c>
      <c r="F7" s="44">
        <f>(('Balance Sheet'!E6+'Balance Sheet'!E7)-'Balance Sheet'!E11) - (('Balance Sheet'!F6+'Balance Sheet'!F7)-'Balance Sheet'!F11)</f>
        <v>-10.152384000000012</v>
      </c>
      <c r="G7" s="44">
        <f>(('Balance Sheet'!F6+'Balance Sheet'!F7)-'Balance Sheet'!F11) - (('Balance Sheet'!G6+'Balance Sheet'!G7)-'Balance Sheet'!G11)</f>
        <v>-11.167622399999985</v>
      </c>
      <c r="H7" s="44">
        <f>(('Balance Sheet'!G6+'Balance Sheet'!G7)-'Balance Sheet'!G11) - (('Balance Sheet'!H6+'Balance Sheet'!H7)-'Balance Sheet'!H11)</f>
        <v>-12.284384640000027</v>
      </c>
    </row>
    <row r="8" spans="2:8" ht="15.75" customHeight="1" thickBot="1" x14ac:dyDescent="0.35">
      <c r="B8" s="8" t="s">
        <v>77</v>
      </c>
      <c r="C8" s="9">
        <v>91</v>
      </c>
      <c r="D8" s="9">
        <f>(D5+D6+D7)</f>
        <v>92.1096</v>
      </c>
      <c r="E8" s="9">
        <f t="shared" ref="E8:H8" si="1">(E5+E6+E7)</f>
        <v>107.02655999999999</v>
      </c>
      <c r="F8" s="39">
        <f t="shared" si="1"/>
        <v>119.72503600000002</v>
      </c>
      <c r="G8" s="39">
        <f t="shared" ref="G8" si="2">(G5+G6+G7)</f>
        <v>133.5454416</v>
      </c>
      <c r="H8" s="39">
        <f t="shared" ref="H8" si="3">(H5+H6+H7)</f>
        <v>148.65430296</v>
      </c>
    </row>
    <row r="9" spans="2:8" ht="18" customHeight="1" x14ac:dyDescent="0.3">
      <c r="B9" s="23" t="s">
        <v>78</v>
      </c>
      <c r="C9" s="23"/>
      <c r="D9" s="23"/>
      <c r="E9" s="23"/>
      <c r="F9" s="23"/>
      <c r="G9" s="23"/>
      <c r="H9" s="23"/>
    </row>
    <row r="10" spans="2:8" ht="15.75" customHeight="1" x14ac:dyDescent="0.3">
      <c r="B10" s="3" t="s">
        <v>79</v>
      </c>
      <c r="C10" s="7">
        <v>-38</v>
      </c>
      <c r="D10" s="7">
        <v>-40</v>
      </c>
      <c r="E10" s="7">
        <v>-43</v>
      </c>
      <c r="F10" s="42">
        <f>(-Assumptions!F14)</f>
        <v>-45.5</v>
      </c>
      <c r="G10" s="12">
        <f>(-Assumptions!G14)</f>
        <v>-48.25</v>
      </c>
      <c r="H10" s="42">
        <f>(-Assumptions!H14)</f>
        <v>-50.875</v>
      </c>
    </row>
    <row r="11" spans="2:8" ht="15.75" customHeight="1" x14ac:dyDescent="0.3">
      <c r="B11" s="8" t="s">
        <v>80</v>
      </c>
      <c r="C11" s="9">
        <v>-38</v>
      </c>
      <c r="D11" s="9">
        <v>-40</v>
      </c>
      <c r="E11" s="9">
        <v>-43</v>
      </c>
      <c r="F11" s="54">
        <f>(-Assumptions!F14)</f>
        <v>-45.5</v>
      </c>
      <c r="G11" s="12">
        <f>(-Assumptions!G14)</f>
        <v>-48.25</v>
      </c>
      <c r="H11" s="42">
        <f>(-Assumptions!H14)</f>
        <v>-50.875</v>
      </c>
    </row>
    <row r="12" spans="2:8" ht="18" customHeight="1" x14ac:dyDescent="0.3">
      <c r="B12" s="23" t="s">
        <v>81</v>
      </c>
      <c r="C12" s="23"/>
      <c r="D12" s="23"/>
      <c r="E12" s="23"/>
      <c r="F12" s="23"/>
      <c r="G12" s="23"/>
      <c r="H12" s="23"/>
    </row>
    <row r="13" spans="2:8" ht="15.75" customHeight="1" x14ac:dyDescent="0.3">
      <c r="B13" s="3" t="s">
        <v>82</v>
      </c>
      <c r="C13" s="7">
        <v>0</v>
      </c>
      <c r="D13" s="7">
        <v>-10</v>
      </c>
      <c r="E13" s="7">
        <v>-10</v>
      </c>
      <c r="F13" s="13">
        <v>-10</v>
      </c>
      <c r="G13" s="13">
        <v>-10</v>
      </c>
      <c r="H13" s="13">
        <v>-10</v>
      </c>
    </row>
    <row r="14" spans="2:8" ht="15.75" customHeight="1" x14ac:dyDescent="0.3">
      <c r="B14" s="8" t="s">
        <v>83</v>
      </c>
      <c r="C14" s="9">
        <v>0</v>
      </c>
      <c r="D14" s="9">
        <v>-10</v>
      </c>
      <c r="E14" s="9">
        <v>-10</v>
      </c>
      <c r="F14" s="13">
        <v>-10</v>
      </c>
      <c r="G14" s="13">
        <v>-10</v>
      </c>
      <c r="H14" s="13">
        <v>-10</v>
      </c>
    </row>
    <row r="15" spans="2:8" ht="15.75" customHeight="1" x14ac:dyDescent="0.3">
      <c r="B15" s="8" t="s">
        <v>84</v>
      </c>
      <c r="C15" s="45">
        <f>C8+C11+C14</f>
        <v>53</v>
      </c>
      <c r="D15" s="45">
        <f>D8+D11+D14</f>
        <v>42.1096</v>
      </c>
      <c r="E15" s="45">
        <f>E8+E11+E14</f>
        <v>54.026559999999989</v>
      </c>
      <c r="F15" s="45">
        <f>F8+F11+F14</f>
        <v>64.225036000000017</v>
      </c>
      <c r="G15" s="45">
        <f t="shared" ref="G15:H15" si="4">G8+G11+G14</f>
        <v>75.295441600000004</v>
      </c>
      <c r="H15" s="45">
        <f t="shared" si="4"/>
        <v>87.779302959999995</v>
      </c>
    </row>
  </sheetData>
  <mergeCells count="4">
    <mergeCell ref="B1:H1"/>
    <mergeCell ref="B4:H4"/>
    <mergeCell ref="B9:H9"/>
    <mergeCell ref="B12:H12"/>
  </mergeCells>
  <pageMargins left="0.75" right="0.75" top="1" bottom="1" header="0.511811023622047" footer="0.511811023622047"/>
  <pageSetup paperSize="9" orientation="portrait" horizontalDpi="300" verticalDpi="300"/>
  <ignoredErrors>
    <ignoredError sqref="C3:H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showGridLines="0" topLeftCell="B1" zoomScale="93" zoomScaleNormal="93" workbookViewId="0">
      <selection activeCell="J19" sqref="J19"/>
    </sheetView>
  </sheetViews>
  <sheetFormatPr defaultColWidth="8.6640625" defaultRowHeight="14.4" x14ac:dyDescent="0.3"/>
  <cols>
    <col min="1" max="1" width="3" customWidth="1"/>
    <col min="2" max="2" width="40" customWidth="1"/>
    <col min="3" max="6" width="18" customWidth="1"/>
    <col min="7" max="7" width="3" customWidth="1"/>
  </cols>
  <sheetData>
    <row r="1" spans="1:6" ht="21.75" customHeight="1" x14ac:dyDescent="0.3">
      <c r="A1" s="18"/>
      <c r="B1" s="23" t="s">
        <v>85</v>
      </c>
      <c r="C1" s="23"/>
      <c r="D1" s="23"/>
      <c r="E1" s="23"/>
      <c r="F1" s="23"/>
    </row>
    <row r="2" spans="1:6" ht="18" customHeight="1" x14ac:dyDescent="0.3">
      <c r="A2" s="18"/>
      <c r="B2" s="23" t="s">
        <v>86</v>
      </c>
      <c r="C2" s="23"/>
      <c r="D2" s="23"/>
      <c r="E2" s="23"/>
      <c r="F2" s="23"/>
    </row>
    <row r="3" spans="1:6" x14ac:dyDescent="0.3">
      <c r="C3" s="17" t="s">
        <v>24</v>
      </c>
      <c r="D3" s="17" t="s">
        <v>25</v>
      </c>
      <c r="E3" s="17" t="s">
        <v>26</v>
      </c>
      <c r="F3" s="17" t="s">
        <v>108</v>
      </c>
    </row>
    <row r="4" spans="1:6" ht="15.75" customHeight="1" x14ac:dyDescent="0.3">
      <c r="B4" s="3" t="s">
        <v>53</v>
      </c>
      <c r="C4" s="42">
        <f>'Income Statement'!F10</f>
        <v>131.88656000000003</v>
      </c>
      <c r="D4" s="42">
        <f>'Income Statement'!G10</f>
        <v>147.28075200000001</v>
      </c>
      <c r="E4" s="42">
        <f>'Income Statement'!H10</f>
        <v>164.75491680000005</v>
      </c>
    </row>
    <row r="5" spans="1:6" ht="15.75" customHeight="1" x14ac:dyDescent="0.3">
      <c r="B5" s="3" t="s">
        <v>87</v>
      </c>
      <c r="C5" s="42">
        <f>Assumptions!F11*'DCF Valuation'!C4</f>
        <v>32.971640000000008</v>
      </c>
      <c r="D5" s="42">
        <f>Assumptions!G11*'DCF Valuation'!D4</f>
        <v>36.820188000000002</v>
      </c>
      <c r="E5" s="42">
        <f>Assumptions!H11*'DCF Valuation'!E4</f>
        <v>41.188729200000012</v>
      </c>
    </row>
    <row r="6" spans="1:6" ht="15.75" customHeight="1" thickBot="1" x14ac:dyDescent="0.35">
      <c r="B6" s="8" t="s">
        <v>88</v>
      </c>
      <c r="C6" s="39">
        <f>C4-C5</f>
        <v>98.914920000000023</v>
      </c>
      <c r="D6" s="39">
        <f t="shared" ref="D6:E6" si="0">D4-D5</f>
        <v>110.46056400000001</v>
      </c>
      <c r="E6" s="39">
        <f t="shared" si="0"/>
        <v>123.56618760000003</v>
      </c>
      <c r="F6" s="11"/>
    </row>
    <row r="7" spans="1:6" ht="15.75" customHeight="1" x14ac:dyDescent="0.3">
      <c r="B7" s="3" t="s">
        <v>75</v>
      </c>
      <c r="C7" s="12">
        <f>Assumptions!F9</f>
        <v>35.5</v>
      </c>
      <c r="D7" s="12">
        <f>Assumptions!G9</f>
        <v>38.25</v>
      </c>
      <c r="E7" s="12">
        <f>Assumptions!H9</f>
        <v>40.875</v>
      </c>
    </row>
    <row r="8" spans="1:6" ht="15.75" customHeight="1" x14ac:dyDescent="0.3">
      <c r="B8" s="3" t="s">
        <v>89</v>
      </c>
      <c r="C8" s="12">
        <f>Assumptions!F14</f>
        <v>45.5</v>
      </c>
      <c r="D8" s="12">
        <f>Assumptions!G14</f>
        <v>48.25</v>
      </c>
      <c r="E8" s="12">
        <f>Assumptions!H14</f>
        <v>50.875</v>
      </c>
    </row>
    <row r="9" spans="1:6" ht="15.75" customHeight="1" x14ac:dyDescent="0.3">
      <c r="B9" s="3" t="s">
        <v>76</v>
      </c>
      <c r="C9" s="42">
        <f xml:space="preserve"> -('Cash Flow'!F7)</f>
        <v>10.152384000000012</v>
      </c>
      <c r="D9" s="42">
        <f xml:space="preserve"> -('Cash Flow'!G7)</f>
        <v>11.167622399999985</v>
      </c>
      <c r="E9" s="42">
        <f xml:space="preserve"> -('Cash Flow'!H7)</f>
        <v>12.284384640000027</v>
      </c>
    </row>
    <row r="10" spans="1:6" ht="15.75" customHeight="1" x14ac:dyDescent="0.3">
      <c r="B10" s="8" t="s">
        <v>90</v>
      </c>
      <c r="C10" s="45">
        <f>(C6+C7)-(C8+C9)</f>
        <v>78.762536000000011</v>
      </c>
      <c r="D10" s="45">
        <f t="shared" ref="D10:E10" si="1">(D6+D7)-(D8+D9)</f>
        <v>89.29294160000002</v>
      </c>
      <c r="E10" s="45">
        <f t="shared" si="1"/>
        <v>101.28180296000001</v>
      </c>
      <c r="F10" s="56">
        <f>E10*(1+Assumptions!C19)</f>
        <v>104.8266660636</v>
      </c>
    </row>
    <row r="11" spans="1:6" ht="18" customHeight="1" x14ac:dyDescent="0.3">
      <c r="B11" s="23" t="s">
        <v>91</v>
      </c>
      <c r="C11" s="23"/>
      <c r="D11" s="23"/>
      <c r="E11" s="23"/>
      <c r="F11" s="23"/>
    </row>
    <row r="12" spans="1:6" x14ac:dyDescent="0.3">
      <c r="C12" s="17" t="s">
        <v>24</v>
      </c>
      <c r="D12" s="17" t="s">
        <v>25</v>
      </c>
      <c r="E12" s="17" t="s">
        <v>26</v>
      </c>
      <c r="F12" s="17" t="s">
        <v>108</v>
      </c>
    </row>
    <row r="13" spans="1:6" ht="15.75" customHeight="1" x14ac:dyDescent="0.3">
      <c r="B13" s="3" t="s">
        <v>92</v>
      </c>
      <c r="C13" s="12">
        <v>1</v>
      </c>
      <c r="D13" s="12">
        <v>2</v>
      </c>
      <c r="E13" s="12">
        <v>3</v>
      </c>
      <c r="F13" s="57">
        <v>4</v>
      </c>
    </row>
    <row r="14" spans="1:6" ht="15.75" customHeight="1" x14ac:dyDescent="0.3">
      <c r="B14" s="3" t="s">
        <v>93</v>
      </c>
      <c r="C14" s="40">
        <f>1/(1+Assumptions!C18)^'DCF Valuation'!C13</f>
        <v>0.90909090909090906</v>
      </c>
      <c r="D14" s="40">
        <f>1/(1+Assumptions!C18)^'DCF Valuation'!D13</f>
        <v>0.82644628099173545</v>
      </c>
      <c r="E14" s="40">
        <f>1/(1+Assumptions!C18)^'DCF Valuation'!E13</f>
        <v>0.75131480090157754</v>
      </c>
      <c r="F14" s="58">
        <f>1/(1+Assumptions!C18)^'DCF Valuation'!F13</f>
        <v>0.68301345536507052</v>
      </c>
    </row>
    <row r="15" spans="1:6" ht="15.75" customHeight="1" thickBot="1" x14ac:dyDescent="0.35">
      <c r="B15" s="8" t="s">
        <v>94</v>
      </c>
      <c r="C15" s="55">
        <f>C10*C14</f>
        <v>71.602305454545458</v>
      </c>
      <c r="D15" s="55">
        <f t="shared" ref="D15:F15" si="2">D10*D14</f>
        <v>73.79581950413224</v>
      </c>
      <c r="E15" s="55">
        <f t="shared" si="2"/>
        <v>76.094517625845214</v>
      </c>
      <c r="F15" s="59">
        <f t="shared" si="2"/>
        <v>71.598023402499805</v>
      </c>
    </row>
    <row r="17" spans="2:6" ht="18" customHeight="1" x14ac:dyDescent="0.3">
      <c r="B17" s="23" t="s">
        <v>95</v>
      </c>
      <c r="C17" s="23"/>
      <c r="D17" s="23"/>
      <c r="E17" s="23"/>
      <c r="F17" s="23"/>
    </row>
    <row r="18" spans="2:6" ht="15.75" customHeight="1" x14ac:dyDescent="0.3">
      <c r="B18" s="3" t="s">
        <v>96</v>
      </c>
      <c r="C18" s="42">
        <f>SUM(C15:E15)</f>
        <v>221.49264258452291</v>
      </c>
    </row>
    <row r="19" spans="2:6" ht="15.75" customHeight="1" x14ac:dyDescent="0.3">
      <c r="B19" s="3" t="s">
        <v>97</v>
      </c>
      <c r="C19" s="42">
        <f>F10/(Assumptions!C18-Assumptions!C19)</f>
        <v>1612.71793944</v>
      </c>
    </row>
    <row r="20" spans="2:6" ht="15.75" customHeight="1" x14ac:dyDescent="0.3">
      <c r="B20" s="3" t="s">
        <v>98</v>
      </c>
      <c r="C20" s="42">
        <f>C19/(1+Assumptions!C18)^'DCF Valuation'!E13</f>
        <v>1211.6588575807659</v>
      </c>
    </row>
    <row r="21" spans="2:6" ht="15.75" customHeight="1" thickBot="1" x14ac:dyDescent="0.35">
      <c r="B21" s="8" t="s">
        <v>99</v>
      </c>
      <c r="C21" s="39">
        <f>SUM(C15:E15)+C20</f>
        <v>1433.1515001652888</v>
      </c>
      <c r="D21" s="11"/>
      <c r="E21" s="11"/>
      <c r="F21" s="11"/>
    </row>
    <row r="22" spans="2:6" ht="15.75" customHeight="1" x14ac:dyDescent="0.3">
      <c r="B22" s="3" t="s">
        <v>100</v>
      </c>
      <c r="C22" s="42">
        <f>(Assumptions!C21)</f>
        <v>-41.13615999999999</v>
      </c>
    </row>
    <row r="23" spans="2:6" ht="15.75" customHeight="1" x14ac:dyDescent="0.3">
      <c r="B23" s="3" t="s">
        <v>101</v>
      </c>
      <c r="C23" s="47">
        <f>C21-C22</f>
        <v>1474.2876601652888</v>
      </c>
    </row>
    <row r="24" spans="2:6" ht="15.75" customHeight="1" x14ac:dyDescent="0.3">
      <c r="B24" s="3" t="s">
        <v>43</v>
      </c>
      <c r="C24" s="12">
        <f>Assumptions!C20</f>
        <v>100</v>
      </c>
    </row>
    <row r="25" spans="2:6" ht="15.75" customHeight="1" thickBot="1" x14ac:dyDescent="0.35">
      <c r="B25" s="8" t="s">
        <v>102</v>
      </c>
      <c r="C25" s="60">
        <f>C23/C24</f>
        <v>14.742876601652888</v>
      </c>
      <c r="D25" s="11"/>
      <c r="E25" s="11"/>
      <c r="F25" s="11"/>
    </row>
  </sheetData>
  <mergeCells count="4">
    <mergeCell ref="B1:F1"/>
    <mergeCell ref="B2:F2"/>
    <mergeCell ref="B11:F11"/>
    <mergeCell ref="B17:F17"/>
  </mergeCells>
  <phoneticPr fontId="18" type="noConversion"/>
  <pageMargins left="0.75" right="0.75" top="1" bottom="1" header="0.511811023622047" footer="0.511811023622047"/>
  <pageSetup paperSize="9" orientation="portrait" horizontalDpi="300" verticalDpi="300"/>
  <ignoredErrors>
    <ignoredError sqref="C12:E12" numberStoredAsText="1"/>
  </ignoredError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Summary</vt:lpstr>
      <vt:lpstr>Assumptions</vt:lpstr>
      <vt:lpstr>Balance Sheet</vt:lpstr>
      <vt:lpstr>Income Statement</vt:lpstr>
      <vt:lpstr>Cash Flow</vt:lpstr>
      <vt:lpstr>DCF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Sheikh Rahim</dc:creator>
  <dc:description/>
  <cp:lastModifiedBy>Auritro Tarafdar</cp:lastModifiedBy>
  <cp:revision>0</cp:revision>
  <dcterms:created xsi:type="dcterms:W3CDTF">2026-04-03T07:25:27Z</dcterms:created>
  <dcterms:modified xsi:type="dcterms:W3CDTF">2026-04-29T06:52:38Z</dcterms:modified>
  <dc:language>en-US</dc:language>
</cp:coreProperties>
</file>